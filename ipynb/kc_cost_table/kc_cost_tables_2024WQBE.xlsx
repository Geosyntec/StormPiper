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osyntec.sharepoint.com/sites/CityofTacoma/Shared Documents/Watershed Tool Updates (PNW0525)/PNW0525B/Technical/task4/"/>
    </mc:Choice>
  </mc:AlternateContent>
  <xr:revisionPtr revIDLastSave="195" documentId="11_4B5C22A20148B1682C7D941C4B21EFC642492993" xr6:coauthVersionLast="47" xr6:coauthVersionMax="47" xr10:uidLastSave="{73D6D517-4A96-4F23-9019-D0AE65B8FCE4}"/>
  <bookViews>
    <workbookView xWindow="29985" yWindow="615" windowWidth="26655" windowHeight="15165" xr2:uid="{00000000-000D-0000-FFFF-FFFF00000000}"/>
  </bookViews>
  <sheets>
    <sheet name="WQBE_2024" sheetId="1" r:id="rId1"/>
    <sheet name="BMP Crosswalk" sheetId="2" r:id="rId2"/>
    <sheet name="Lookups" sheetId="3" r:id="rId3"/>
  </sheets>
  <externalReferences>
    <externalReference r:id="rId4"/>
  </externalReferences>
  <definedNames>
    <definedName name="basis_year">#REF!</definedName>
    <definedName name="capital_basis_year">#REF!</definedName>
    <definedName name="capital_cost">#REF!</definedName>
    <definedName name="capital_discount_factor">#REF!</definedName>
    <definedName name="discount_rate">#REF!</definedName>
    <definedName name="install_date">#REF!</definedName>
    <definedName name="install_year">#REF!</definedName>
    <definedName name="lifespan_yrs">#REF!</definedName>
    <definedName name="n">#REF!</definedName>
    <definedName name="om_basis_year">#REF!</definedName>
    <definedName name="om_cost_per_yr">#REF!</definedName>
    <definedName name="om_discount_factor">#REF!</definedName>
    <definedName name="planning_horizon_yrs">#REF!</definedName>
    <definedName name="property_cost">#REF!</definedName>
    <definedName name="replacement_co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B57" i="2"/>
  <c r="B58" i="2"/>
  <c r="B59" i="2"/>
  <c r="B60" i="2"/>
  <c r="B63" i="2"/>
  <c r="B64" i="2"/>
  <c r="B65" i="2"/>
  <c r="B66" i="2"/>
  <c r="C57" i="2"/>
  <c r="C58" i="2"/>
  <c r="C63" i="2"/>
  <c r="C64" i="2"/>
  <c r="G49" i="2"/>
  <c r="B49" i="2" s="1"/>
  <c r="G50" i="2"/>
  <c r="B50" i="2" s="1"/>
  <c r="G51" i="2"/>
  <c r="C51" i="2" s="1"/>
  <c r="G52" i="2"/>
  <c r="B52" i="2" s="1"/>
  <c r="G53" i="2"/>
  <c r="B53" i="2" s="1"/>
  <c r="G54" i="2"/>
  <c r="B54" i="2" s="1"/>
  <c r="G55" i="2"/>
  <c r="B55" i="2" s="1"/>
  <c r="G56" i="2"/>
  <c r="C56" i="2" s="1"/>
  <c r="G57" i="2"/>
  <c r="G58" i="2"/>
  <c r="G59" i="2"/>
  <c r="C59" i="2" s="1"/>
  <c r="G60" i="2"/>
  <c r="C60" i="2" s="1"/>
  <c r="G61" i="2"/>
  <c r="B61" i="2" s="1"/>
  <c r="G62" i="2"/>
  <c r="C62" i="2" s="1"/>
  <c r="G63" i="2"/>
  <c r="G64" i="2"/>
  <c r="G65" i="2"/>
  <c r="C65" i="2" s="1"/>
  <c r="G66" i="2"/>
  <c r="C66" i="2" s="1"/>
  <c r="G67" i="2"/>
  <c r="B67" i="2" s="1"/>
  <c r="G68" i="2"/>
  <c r="B68" i="2" s="1"/>
  <c r="G69" i="2"/>
  <c r="B69" i="2" s="1"/>
  <c r="G70" i="2"/>
  <c r="C70" i="2" s="1"/>
  <c r="C55" i="2" l="1"/>
  <c r="C54" i="2"/>
  <c r="C53" i="2"/>
  <c r="C52" i="2"/>
  <c r="C50" i="2"/>
  <c r="C69" i="2"/>
  <c r="C49" i="2"/>
  <c r="B51" i="2"/>
  <c r="C68" i="2"/>
  <c r="B70" i="2"/>
  <c r="C67" i="2"/>
  <c r="B56" i="2"/>
  <c r="C61" i="2"/>
  <c r="B62" i="2"/>
  <c r="O3" i="1" l="1"/>
  <c r="N2" i="1"/>
  <c r="O2" i="1" s="1"/>
  <c r="N3" i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G48" i="2"/>
  <c r="C48" i="2" s="1"/>
  <c r="G47" i="2"/>
  <c r="C47" i="2" s="1"/>
  <c r="G46" i="2"/>
  <c r="C46" i="2" s="1"/>
  <c r="G45" i="2"/>
  <c r="C45" i="2" s="1"/>
  <c r="G44" i="2"/>
  <c r="B44" i="2" s="1"/>
  <c r="G43" i="2"/>
  <c r="C43" i="2" s="1"/>
  <c r="G42" i="2"/>
  <c r="C42" i="2" s="1"/>
  <c r="G41" i="2"/>
  <c r="B41" i="2" s="1"/>
  <c r="G40" i="2"/>
  <c r="C40" i="2" s="1"/>
  <c r="G39" i="2"/>
  <c r="C39" i="2" s="1"/>
  <c r="G38" i="2"/>
  <c r="C38" i="2" s="1"/>
  <c r="G37" i="2"/>
  <c r="C37" i="2" s="1"/>
  <c r="G36" i="2"/>
  <c r="C36" i="2" s="1"/>
  <c r="G35" i="2"/>
  <c r="C35" i="2" s="1"/>
  <c r="G34" i="2"/>
  <c r="C34" i="2" s="1"/>
  <c r="G33" i="2"/>
  <c r="C33" i="2" s="1"/>
  <c r="B33" i="2"/>
  <c r="G32" i="2"/>
  <c r="C32" i="2" s="1"/>
  <c r="G31" i="2"/>
  <c r="C31" i="2" s="1"/>
  <c r="B31" i="2"/>
  <c r="G30" i="2"/>
  <c r="B30" i="2" s="1"/>
  <c r="G29" i="2"/>
  <c r="C29" i="2" s="1"/>
  <c r="G28" i="2"/>
  <c r="B28" i="2" s="1"/>
  <c r="C28" i="2"/>
  <c r="G27" i="2"/>
  <c r="C27" i="2" s="1"/>
  <c r="G26" i="2"/>
  <c r="B26" i="2" s="1"/>
  <c r="C26" i="2"/>
  <c r="G25" i="2"/>
  <c r="B25" i="2" s="1"/>
  <c r="G24" i="2"/>
  <c r="C24" i="2" s="1"/>
  <c r="G23" i="2"/>
  <c r="C23" i="2" s="1"/>
  <c r="G22" i="2"/>
  <c r="C22" i="2" s="1"/>
  <c r="G21" i="2"/>
  <c r="B21" i="2" s="1"/>
  <c r="C21" i="2"/>
  <c r="G20" i="2"/>
  <c r="C20" i="2" s="1"/>
  <c r="G19" i="2"/>
  <c r="C19" i="2" s="1"/>
  <c r="G18" i="2"/>
  <c r="C18" i="2" s="1"/>
  <c r="G17" i="2"/>
  <c r="C17" i="2" s="1"/>
  <c r="G16" i="2"/>
  <c r="B16" i="2" s="1"/>
  <c r="G15" i="2"/>
  <c r="C15" i="2" s="1"/>
  <c r="G14" i="2"/>
  <c r="C14" i="2" s="1"/>
  <c r="G13" i="2"/>
  <c r="C13" i="2" s="1"/>
  <c r="G12" i="2"/>
  <c r="C12" i="2" s="1"/>
  <c r="G11" i="2"/>
  <c r="B11" i="2" s="1"/>
  <c r="G10" i="2"/>
  <c r="B10" i="2" s="1"/>
  <c r="G9" i="2"/>
  <c r="C9" i="2" s="1"/>
  <c r="G8" i="2"/>
  <c r="C8" i="2"/>
  <c r="B8" i="2"/>
  <c r="G7" i="2"/>
  <c r="C7" i="2" s="1"/>
  <c r="G6" i="2"/>
  <c r="B6" i="2" s="1"/>
  <c r="G5" i="2"/>
  <c r="B5" i="2" s="1"/>
  <c r="G4" i="2"/>
  <c r="C4" i="2" s="1"/>
  <c r="G3" i="2"/>
  <c r="C3" i="2" s="1"/>
  <c r="G2" i="2"/>
  <c r="B2" i="2" s="1"/>
  <c r="B13" i="2" l="1"/>
  <c r="C44" i="2"/>
  <c r="B34" i="2"/>
  <c r="C30" i="2"/>
  <c r="C2" i="2"/>
  <c r="B17" i="2"/>
  <c r="B4" i="2"/>
  <c r="B22" i="2"/>
  <c r="B24" i="2"/>
  <c r="B15" i="2"/>
  <c r="B35" i="2"/>
  <c r="C11" i="2"/>
  <c r="C5" i="2"/>
  <c r="C6" i="2"/>
  <c r="B7" i="2"/>
  <c r="B40" i="2"/>
  <c r="B20" i="2"/>
  <c r="B42" i="2"/>
  <c r="B37" i="2"/>
  <c r="B48" i="2"/>
  <c r="C16" i="2"/>
  <c r="C25" i="2"/>
  <c r="B27" i="2"/>
  <c r="C41" i="2"/>
  <c r="C10" i="2"/>
  <c r="P2" i="1"/>
  <c r="B14" i="2"/>
  <c r="B9" i="2"/>
  <c r="B29" i="2"/>
  <c r="B36" i="2"/>
  <c r="B3" i="2"/>
  <c r="P15" i="1" s="1"/>
  <c r="B23" i="2"/>
  <c r="B43" i="2"/>
  <c r="B38" i="2"/>
  <c r="B18" i="2"/>
  <c r="B45" i="2"/>
  <c r="B12" i="2"/>
  <c r="B32" i="2"/>
  <c r="B19" i="2"/>
  <c r="B39" i="2"/>
  <c r="B46" i="2"/>
  <c r="B47" i="2"/>
  <c r="P58" i="1" l="1"/>
  <c r="P49" i="1"/>
  <c r="P19" i="1"/>
  <c r="P27" i="1"/>
  <c r="P47" i="1"/>
  <c r="P10" i="1"/>
  <c r="P66" i="1"/>
  <c r="P31" i="1"/>
  <c r="P40" i="1"/>
  <c r="P51" i="1"/>
  <c r="P61" i="1"/>
  <c r="P39" i="1"/>
  <c r="P16" i="1"/>
  <c r="P20" i="1"/>
  <c r="P4" i="1"/>
  <c r="P5" i="1"/>
  <c r="P50" i="1"/>
  <c r="P59" i="1"/>
  <c r="P26" i="1"/>
  <c r="P70" i="1"/>
  <c r="P54" i="1"/>
  <c r="P42" i="1"/>
  <c r="P46" i="1"/>
  <c r="P63" i="1"/>
  <c r="P41" i="1"/>
  <c r="P21" i="1"/>
  <c r="P23" i="1"/>
  <c r="P3" i="1"/>
  <c r="P34" i="1"/>
  <c r="P24" i="1"/>
  <c r="P6" i="1"/>
  <c r="P35" i="1"/>
  <c r="P13" i="1"/>
  <c r="P55" i="1"/>
  <c r="P60" i="1"/>
  <c r="P67" i="1"/>
  <c r="P74" i="1"/>
  <c r="P30" i="1"/>
  <c r="P44" i="1"/>
  <c r="P17" i="1"/>
  <c r="P43" i="1"/>
  <c r="P7" i="1"/>
  <c r="P11" i="1"/>
  <c r="P45" i="1"/>
  <c r="P52" i="1"/>
  <c r="P64" i="1"/>
  <c r="P71" i="1"/>
  <c r="P32" i="1"/>
  <c r="P25" i="1"/>
  <c r="P8" i="1"/>
  <c r="P56" i="1"/>
  <c r="P12" i="1"/>
  <c r="P65" i="1"/>
  <c r="P48" i="1"/>
  <c r="P37" i="1"/>
  <c r="P33" i="1"/>
  <c r="P14" i="1"/>
  <c r="P57" i="1"/>
  <c r="P68" i="1"/>
  <c r="P9" i="1"/>
  <c r="P73" i="1"/>
  <c r="P36" i="1"/>
  <c r="P72" i="1"/>
  <c r="P28" i="1"/>
  <c r="P18" i="1"/>
  <c r="P69" i="1"/>
  <c r="P29" i="1"/>
  <c r="P38" i="1"/>
  <c r="P53" i="1"/>
  <c r="P22" i="1"/>
  <c r="P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Austin Orr</author>
  </authors>
  <commentList>
    <comment ref="Q1" authorId="0" shapeId="0" xr:uid="{124C8D9F-3289-4AEA-A4D4-EE76986B6D2A}">
      <text>
        <r>
          <rPr>
            <b/>
            <sz val="9"/>
            <color indexed="81"/>
            <rFont val="Tahoma"/>
            <family val="2"/>
          </rPr>
          <t>Austin Orr:</t>
        </r>
        <r>
          <rPr>
            <sz val="9"/>
            <color indexed="81"/>
            <rFont val="Tahoma"/>
            <family val="2"/>
          </rPr>
          <t xml:space="preserve">
Total Direct Const. Cost (cost per unit)</t>
        </r>
      </text>
    </comment>
    <comment ref="R1" authorId="0" shapeId="0" xr:uid="{4462B4C8-C4C8-4B36-A630-9FB2D0226626}">
      <text>
        <r>
          <rPr>
            <b/>
            <sz val="9"/>
            <color indexed="81"/>
            <rFont val="Tahoma"/>
            <family val="2"/>
          </rPr>
          <t>Austin Orr:</t>
        </r>
        <r>
          <rPr>
            <sz val="9"/>
            <color indexed="81"/>
            <rFont val="Tahoma"/>
            <family val="2"/>
          </rPr>
          <t xml:space="preserve">
Total In-Direct Non-Const. Cost (cost per unit)</t>
        </r>
      </text>
    </comment>
    <comment ref="S1" authorId="0" shapeId="0" xr:uid="{E1612373-30A1-4E94-86B0-FB182EA9D019}">
      <text>
        <r>
          <rPr>
            <b/>
            <sz val="9"/>
            <color indexed="81"/>
            <rFont val="Tahoma"/>
            <family val="2"/>
          </rPr>
          <t>Austin Orr:</t>
        </r>
        <r>
          <rPr>
            <sz val="9"/>
            <color indexed="81"/>
            <rFont val="Tahoma"/>
            <family val="2"/>
          </rPr>
          <t xml:space="preserve">
Total Capital Cost (cost per unit)</t>
        </r>
      </text>
    </comment>
    <comment ref="T1" authorId="0" shapeId="0" xr:uid="{FD6577AB-7358-4F9B-9205-AEEC083A6EDA}">
      <text>
        <r>
          <rPr>
            <b/>
            <sz val="9"/>
            <color indexed="81"/>
            <rFont val="Tahoma"/>
            <family val="2"/>
          </rPr>
          <t>Austin Orr:</t>
        </r>
        <r>
          <rPr>
            <sz val="9"/>
            <color indexed="81"/>
            <rFont val="Tahoma"/>
            <family val="2"/>
          </rPr>
          <t xml:space="preserve">
Ops and Maint Cost (cost per unit)</t>
        </r>
      </text>
    </comment>
  </commentList>
</comments>
</file>

<file path=xl/sharedStrings.xml><?xml version="1.0" encoding="utf-8"?>
<sst xmlns="http://schemas.openxmlformats.org/spreadsheetml/2006/main" count="711" uniqueCount="253">
  <si>
    <t>Total Project Cost (d) (a)+(b)+©</t>
  </si>
  <si>
    <r>
      <rPr>
        <b/>
        <sz val="10"/>
        <rFont val="Aptos"/>
        <family val="2"/>
      </rPr>
      <t>Action</t>
    </r>
  </si>
  <si>
    <r>
      <rPr>
        <b/>
        <sz val="10"/>
        <rFont val="Aptos"/>
        <family val="2"/>
      </rPr>
      <t>Action Unit Footprint Area</t>
    </r>
  </si>
  <si>
    <r>
      <rPr>
        <b/>
        <sz val="10"/>
        <rFont val="Aptos"/>
        <family val="2"/>
      </rPr>
      <t>Design Drainage Area</t>
    </r>
  </si>
  <si>
    <r>
      <rPr>
        <b/>
        <sz val="10"/>
        <rFont val="Aptos"/>
        <family val="2"/>
      </rPr>
      <t>Total Direct Construction Cost (a)</t>
    </r>
  </si>
  <si>
    <r>
      <rPr>
        <b/>
        <sz val="10"/>
        <rFont val="Aptos"/>
        <family val="2"/>
      </rPr>
      <t>Property Acquisition Cost (b)</t>
    </r>
  </si>
  <si>
    <r>
      <rPr>
        <b/>
        <sz val="10"/>
        <rFont val="Aptos"/>
        <family val="2"/>
      </rPr>
      <t>O&amp;M Costs (Annual) (e)</t>
    </r>
  </si>
  <si>
    <r>
      <rPr>
        <sz val="10"/>
        <rFont val="Aptos"/>
        <family val="2"/>
      </rPr>
      <t>Rain garden installation</t>
    </r>
  </si>
  <si>
    <r>
      <rPr>
        <sz val="10"/>
        <rFont val="Aptos"/>
        <family val="2"/>
      </rPr>
      <t>WQBE 01_Rain Garden Installation on Property (Program)</t>
    </r>
  </si>
  <si>
    <r>
      <rPr>
        <sz val="10"/>
        <rFont val="Aptos"/>
        <family val="2"/>
      </rPr>
      <t>25 SF</t>
    </r>
  </si>
  <si>
    <r>
      <rPr>
        <sz val="10"/>
        <rFont val="Aptos"/>
        <family val="2"/>
      </rPr>
      <t>Till 806 SF;
Outwash 2,844 SF</t>
    </r>
  </si>
  <si>
    <r>
      <rPr>
        <sz val="10"/>
        <rFont val="Aptos"/>
        <family val="2"/>
      </rPr>
      <t>Bioretention HPBSM planter installation</t>
    </r>
  </si>
  <si>
    <r>
      <rPr>
        <sz val="10"/>
        <rFont val="Aptos"/>
        <family val="2"/>
      </rPr>
      <t>WQBE_02A_Bioretention Planter on Property</t>
    </r>
  </si>
  <si>
    <r>
      <rPr>
        <sz val="10"/>
        <rFont val="Aptos"/>
        <family val="2"/>
      </rPr>
      <t>2,357 SF</t>
    </r>
  </si>
  <si>
    <r>
      <rPr>
        <sz val="10"/>
        <rFont val="Aptos"/>
        <family val="2"/>
      </rPr>
      <t>WQBE_02B_Bioretention Planter in ROW</t>
    </r>
  </si>
  <si>
    <r>
      <rPr>
        <sz val="10"/>
        <rFont val="Aptos"/>
        <family val="2"/>
      </rPr>
      <t>WQBE_02C_Bioretention Planter with Property Cost</t>
    </r>
  </si>
  <si>
    <r>
      <rPr>
        <sz val="10"/>
        <rFont val="Aptos"/>
        <family val="2"/>
      </rPr>
      <t>Bioretention HPBSM installation</t>
    </r>
  </si>
  <si>
    <r>
      <rPr>
        <sz val="10"/>
        <rFont val="Aptos"/>
        <family val="2"/>
      </rPr>
      <t>WQBE_03A_Bioretention Underdrain on Property</t>
    </r>
  </si>
  <si>
    <r>
      <rPr>
        <sz val="10"/>
        <rFont val="Aptos"/>
        <family val="2"/>
      </rPr>
      <t>85 SF</t>
    </r>
  </si>
  <si>
    <r>
      <rPr>
        <sz val="10"/>
        <rFont val="Aptos"/>
        <family val="2"/>
      </rPr>
      <t>12,148 SF</t>
    </r>
  </si>
  <si>
    <r>
      <rPr>
        <sz val="10"/>
        <rFont val="Aptos"/>
        <family val="2"/>
      </rPr>
      <t>WQBE_03Aa_Bioretention Underdrain with Property Cost</t>
    </r>
  </si>
  <si>
    <r>
      <rPr>
        <sz val="10"/>
        <rFont val="Aptos"/>
        <family val="2"/>
      </rPr>
      <t>WQBE_03B_Bioretention No Underdrain on Property</t>
    </r>
  </si>
  <si>
    <r>
      <rPr>
        <sz val="10"/>
        <rFont val="Aptos"/>
        <family val="2"/>
      </rPr>
      <t>9,570 SF</t>
    </r>
  </si>
  <si>
    <r>
      <rPr>
        <sz val="10"/>
        <rFont val="Aptos"/>
        <family val="2"/>
      </rPr>
      <t>WQBE_03Bb_Bioretention No Underdrain with Property Cost</t>
    </r>
  </si>
  <si>
    <r>
      <rPr>
        <sz val="10"/>
        <rFont val="Aptos"/>
        <family val="2"/>
      </rPr>
      <t>WQBE_03C_Bioretention Underdrain in ROW</t>
    </r>
  </si>
  <si>
    <r>
      <rPr>
        <sz val="10"/>
        <rFont val="Aptos"/>
        <family val="2"/>
      </rPr>
      <t>WQBE_03D_Bioretention No Underdrain in ROW</t>
    </r>
  </si>
  <si>
    <r>
      <rPr>
        <sz val="10"/>
        <rFont val="Aptos"/>
        <family val="2"/>
      </rPr>
      <t>Bioswale installation</t>
    </r>
  </si>
  <si>
    <r>
      <rPr>
        <sz val="10"/>
        <rFont val="Aptos"/>
        <family val="2"/>
      </rPr>
      <t>WQBE_04A_Bioswale in ROW</t>
    </r>
  </si>
  <si>
    <r>
      <rPr>
        <sz val="10"/>
        <rFont val="Aptos"/>
        <family val="2"/>
      </rPr>
      <t>200 SF</t>
    </r>
  </si>
  <si>
    <r>
      <rPr>
        <sz val="10"/>
        <rFont val="Aptos"/>
        <family val="2"/>
      </rPr>
      <t>27,878 SF</t>
    </r>
  </si>
  <si>
    <r>
      <rPr>
        <sz val="10"/>
        <rFont val="Aptos"/>
        <family val="2"/>
      </rPr>
      <t>WQBE_04B_Bioswale on Public Property</t>
    </r>
  </si>
  <si>
    <r>
      <rPr>
        <sz val="10"/>
        <rFont val="Aptos"/>
        <family val="2"/>
      </rPr>
      <t>WQBE_04C_Bioswale with Property Cost</t>
    </r>
  </si>
  <si>
    <r>
      <rPr>
        <sz val="10"/>
        <rFont val="Aptos"/>
        <family val="2"/>
      </rPr>
      <t>Media filter drains</t>
    </r>
  </si>
  <si>
    <r>
      <rPr>
        <sz val="10"/>
        <rFont val="Aptos"/>
        <family val="2"/>
      </rPr>
      <t>WQBE_05A_Media Filter Drain Underdrain</t>
    </r>
  </si>
  <si>
    <r>
      <rPr>
        <sz val="10"/>
        <rFont val="Aptos"/>
        <family val="2"/>
      </rPr>
      <t>2,000 SF</t>
    </r>
  </si>
  <si>
    <r>
      <rPr>
        <sz val="10"/>
        <rFont val="Aptos"/>
        <family val="2"/>
      </rPr>
      <t>WQBE_05B_Media Filter Drain No Underdrain</t>
    </r>
  </si>
  <si>
    <r>
      <rPr>
        <sz val="10"/>
        <rFont val="Aptos"/>
        <family val="2"/>
      </rPr>
      <t>Drywell</t>
    </r>
  </si>
  <si>
    <r>
      <rPr>
        <sz val="10"/>
        <rFont val="Aptos"/>
        <family val="2"/>
      </rPr>
      <t>WQBE_06A_Drywell on Property</t>
    </r>
  </si>
  <si>
    <r>
      <rPr>
        <sz val="10"/>
        <rFont val="Aptos"/>
        <family val="2"/>
      </rPr>
      <t>13 SF</t>
    </r>
  </si>
  <si>
    <r>
      <rPr>
        <sz val="10"/>
        <rFont val="Aptos"/>
        <family val="2"/>
      </rPr>
      <t>Till 261 SF;
Outwash 780 SF</t>
    </r>
  </si>
  <si>
    <r>
      <rPr>
        <sz val="10"/>
        <rFont val="Aptos"/>
        <family val="2"/>
      </rPr>
      <t>WQBE_06B_Drywell on Outwash with Bioretention Planter on Property</t>
    </r>
  </si>
  <si>
    <r>
      <rPr>
        <sz val="10"/>
        <rFont val="Aptos"/>
        <family val="2"/>
      </rPr>
      <t>Drywell is 13 SF; Planter is 4.3 SF</t>
    </r>
  </si>
  <si>
    <r>
      <rPr>
        <sz val="10"/>
        <rFont val="Aptos"/>
        <family val="2"/>
      </rPr>
      <t>395 SF</t>
    </r>
  </si>
  <si>
    <r>
      <rPr>
        <sz val="10"/>
        <rFont val="Aptos"/>
        <family val="2"/>
      </rPr>
      <t>Deep UIC well</t>
    </r>
  </si>
  <si>
    <r>
      <rPr>
        <sz val="10"/>
        <rFont val="Aptos"/>
        <family val="2"/>
      </rPr>
      <t>WQBE_07A_Deep UIC Well on Property</t>
    </r>
  </si>
  <si>
    <r>
      <rPr>
        <sz val="10"/>
        <rFont val="Aptos"/>
        <family val="2"/>
      </rPr>
      <t>42 SF</t>
    </r>
  </si>
  <si>
    <r>
      <rPr>
        <sz val="10"/>
        <rFont val="Aptos"/>
        <family val="2"/>
      </rPr>
      <t>NA</t>
    </r>
    <r>
      <rPr>
        <vertAlign val="superscript"/>
        <sz val="10"/>
        <rFont val="Aptos"/>
        <family val="2"/>
      </rPr>
      <t>a</t>
    </r>
  </si>
  <si>
    <r>
      <rPr>
        <sz val="10"/>
        <rFont val="Aptos"/>
        <family val="2"/>
      </rPr>
      <t>WQBE_07B_Deep UIC Well in ROW</t>
    </r>
  </si>
  <si>
    <r>
      <rPr>
        <sz val="10"/>
        <rFont val="Aptos"/>
        <family val="2"/>
      </rPr>
      <t>WQBE_07C_Deep UIC Well with Property Cost</t>
    </r>
  </si>
  <si>
    <r>
      <rPr>
        <sz val="10"/>
        <rFont val="Aptos"/>
        <family val="2"/>
      </rPr>
      <t>WQBE_07D_Deep UIC Well with Filter in ROW</t>
    </r>
  </si>
  <si>
    <r>
      <rPr>
        <sz val="10"/>
        <rFont val="Aptos"/>
        <family val="2"/>
      </rPr>
      <t>Well is 42 SF; Filter is 24 SF</t>
    </r>
  </si>
  <si>
    <r>
      <rPr>
        <sz val="10"/>
        <rFont val="Aptos"/>
        <family val="2"/>
      </rPr>
      <t>52,164 SF</t>
    </r>
  </si>
  <si>
    <r>
      <rPr>
        <sz val="10"/>
        <rFont val="Aptos"/>
        <family val="2"/>
      </rPr>
      <t>WQBE_07E_Deep UIC Well with Bioretention Planter in ROW</t>
    </r>
  </si>
  <si>
    <r>
      <rPr>
        <sz val="10"/>
        <rFont val="Aptos"/>
        <family val="2"/>
      </rPr>
      <t>Well is 42 SF; Planter is 579 SF</t>
    </r>
  </si>
  <si>
    <r>
      <rPr>
        <sz val="10"/>
        <rFont val="Aptos"/>
        <family val="2"/>
      </rPr>
      <t>54,546 SF</t>
    </r>
  </si>
  <si>
    <r>
      <rPr>
        <sz val="10"/>
        <rFont val="Aptos"/>
        <family val="2"/>
      </rPr>
      <t>WQBE_07F_Deep UIC Well with Bioretention Planter on Property</t>
    </r>
  </si>
  <si>
    <r>
      <rPr>
        <sz val="10"/>
        <rFont val="Aptos"/>
        <family val="2"/>
      </rPr>
      <t>WQBE_07G_Deep UIC Well with High Rate Underground Filter on Property</t>
    </r>
  </si>
  <si>
    <r>
      <rPr>
        <sz val="10"/>
        <rFont val="Aptos"/>
        <family val="2"/>
      </rPr>
      <t>Permeable pavement</t>
    </r>
  </si>
  <si>
    <r>
      <rPr>
        <sz val="10"/>
        <rFont val="Aptos"/>
        <family val="2"/>
      </rPr>
      <t>WQBE_08A_Pervious Concrete Sidewalk (no sand layer)</t>
    </r>
  </si>
  <si>
    <r>
      <rPr>
        <sz val="10"/>
        <rFont val="Aptos"/>
        <family val="2"/>
      </rPr>
      <t>WQBE_08B_Porous Asphalt Driveway (with sand layer)</t>
    </r>
  </si>
  <si>
    <r>
      <rPr>
        <sz val="10"/>
        <rFont val="Aptos"/>
        <family val="2"/>
      </rPr>
      <t>WQBE_08C_Permeable Paver Driveway (with sand layer)</t>
    </r>
  </si>
  <si>
    <r>
      <rPr>
        <sz val="10"/>
        <rFont val="Aptos"/>
        <family val="2"/>
      </rPr>
      <t>WQBE_08D_Permeable Paver Plaza (no sand layer)</t>
    </r>
  </si>
  <si>
    <r>
      <rPr>
        <sz val="10"/>
        <rFont val="Aptos"/>
        <family val="2"/>
      </rPr>
      <t>Depaving (removal of impervious surfaces)</t>
    </r>
  </si>
  <si>
    <r>
      <rPr>
        <sz val="10"/>
        <rFont val="Aptos"/>
        <family val="2"/>
      </rPr>
      <t>WQBE_9A_Removal of Impervious Surfaces on Property (wheel strips)</t>
    </r>
  </si>
  <si>
    <r>
      <rPr>
        <sz val="10"/>
        <rFont val="Aptos"/>
        <family val="2"/>
      </rPr>
      <t>100 SF</t>
    </r>
  </si>
  <si>
    <r>
      <rPr>
        <sz val="10"/>
        <rFont val="Aptos"/>
        <family val="2"/>
      </rPr>
      <t>WQBE_9B_Removal of Impervious Surfaces on Property (no wheel strips)</t>
    </r>
  </si>
  <si>
    <r>
      <rPr>
        <sz val="10"/>
        <rFont val="Aptos"/>
        <family val="2"/>
      </rPr>
      <t>Detention vault</t>
    </r>
  </si>
  <si>
    <r>
      <rPr>
        <sz val="10"/>
        <rFont val="Aptos"/>
        <family val="2"/>
      </rPr>
      <t>WQBE_11A_Detention Vault on Public Property</t>
    </r>
  </si>
  <si>
    <r>
      <rPr>
        <sz val="10"/>
        <rFont val="Aptos"/>
        <family val="2"/>
      </rPr>
      <t>2,592 SF</t>
    </r>
  </si>
  <si>
    <r>
      <rPr>
        <sz val="10"/>
        <rFont val="Aptos"/>
        <family val="2"/>
      </rPr>
      <t>28,658 SF</t>
    </r>
  </si>
  <si>
    <r>
      <rPr>
        <sz val="10"/>
        <rFont val="Aptos"/>
        <family val="2"/>
      </rPr>
      <t>WQBE_11B_Detention Vault in ROW</t>
    </r>
  </si>
  <si>
    <r>
      <rPr>
        <sz val="10"/>
        <rFont val="Aptos"/>
        <family val="2"/>
      </rPr>
      <t>WQBE_11C_Detention Vault with Property Cost</t>
    </r>
  </si>
  <si>
    <r>
      <rPr>
        <sz val="10"/>
        <rFont val="Aptos"/>
        <family val="2"/>
      </rPr>
      <t>Detention pond</t>
    </r>
  </si>
  <si>
    <r>
      <rPr>
        <sz val="10"/>
        <rFont val="Aptos"/>
        <family val="2"/>
      </rPr>
      <t>WQBE_12A_Detention Pond on Public Property</t>
    </r>
  </si>
  <si>
    <r>
      <rPr>
        <sz val="10"/>
        <rFont val="Aptos"/>
        <family val="2"/>
      </rPr>
      <t>4,500 SF</t>
    </r>
  </si>
  <si>
    <r>
      <rPr>
        <sz val="10"/>
        <rFont val="Aptos"/>
        <family val="2"/>
      </rPr>
      <t>36,569 SF</t>
    </r>
  </si>
  <si>
    <r>
      <rPr>
        <sz val="10"/>
        <rFont val="Aptos"/>
        <family val="2"/>
      </rPr>
      <t>WQBE_12B_Detention Pond with Property Cost</t>
    </r>
  </si>
  <si>
    <r>
      <rPr>
        <sz val="10"/>
        <rFont val="Aptos"/>
        <family val="2"/>
      </rPr>
      <t>Infiltration pond</t>
    </r>
  </si>
  <si>
    <r>
      <rPr>
        <sz val="10"/>
        <rFont val="Aptos"/>
        <family val="2"/>
      </rPr>
      <t>WQBE_13A_Infiltration Pond Till Soil on Public Property</t>
    </r>
  </si>
  <si>
    <r>
      <rPr>
        <sz val="10"/>
        <rFont val="Aptos"/>
        <family val="2"/>
      </rPr>
      <t>2,785 SF</t>
    </r>
  </si>
  <si>
    <r>
      <rPr>
        <sz val="10"/>
        <rFont val="Aptos"/>
        <family val="2"/>
      </rPr>
      <t>36,595 SF</t>
    </r>
  </si>
  <si>
    <r>
      <rPr>
        <sz val="10"/>
        <rFont val="Aptos"/>
        <family val="2"/>
      </rPr>
      <t>WQBE_13B_Infiltration Pond Outwash Soil on Public Property</t>
    </r>
  </si>
  <si>
    <r>
      <rPr>
        <sz val="10"/>
        <rFont val="Aptos"/>
        <family val="2"/>
      </rPr>
      <t>1,479 SF</t>
    </r>
  </si>
  <si>
    <r>
      <rPr>
        <sz val="10"/>
        <rFont val="Aptos"/>
        <family val="2"/>
      </rPr>
      <t>46,396 SF</t>
    </r>
  </si>
  <si>
    <r>
      <rPr>
        <sz val="10"/>
        <rFont val="Aptos"/>
        <family val="2"/>
      </rPr>
      <t>WQBE_13C_Infiltration Pond Till Soil with Property Cost</t>
    </r>
  </si>
  <si>
    <r>
      <rPr>
        <sz val="10"/>
        <rFont val="Aptos"/>
        <family val="2"/>
      </rPr>
      <t>WQBE_13D_Infiltration Pond Outwash Soil with Property Cost</t>
    </r>
  </si>
  <si>
    <r>
      <rPr>
        <sz val="10"/>
        <rFont val="Aptos"/>
        <family val="2"/>
      </rPr>
      <t>WQBE_13E_Infiltration Pond Outwash Soil with High Rate Underground Filter System on Public Property</t>
    </r>
  </si>
  <si>
    <r>
      <rPr>
        <sz val="10"/>
        <rFont val="Aptos"/>
        <family val="2"/>
      </rPr>
      <t>Pond is 1,479 SF; Filter is 24 SF</t>
    </r>
  </si>
  <si>
    <r>
      <rPr>
        <sz val="10"/>
        <rFont val="Aptos"/>
        <family val="2"/>
      </rPr>
      <t>WQBE_13F_Infiltration Pond Outwash Soil with High Rate Underground Filter System with Property Cost</t>
    </r>
  </si>
  <si>
    <r>
      <rPr>
        <sz val="10"/>
        <rFont val="Aptos"/>
        <family val="2"/>
      </rPr>
      <t>Infiltration vault</t>
    </r>
  </si>
  <si>
    <r>
      <rPr>
        <sz val="10"/>
        <rFont val="Aptos"/>
        <family val="2"/>
      </rPr>
      <t>WQBE_14A_Infiltration Vault Till Soil on Public Property</t>
    </r>
  </si>
  <si>
    <r>
      <rPr>
        <sz val="10"/>
        <rFont val="Aptos"/>
        <family val="2"/>
      </rPr>
      <t>1,836 SF</t>
    </r>
  </si>
  <si>
    <r>
      <rPr>
        <sz val="10"/>
        <rFont val="Aptos"/>
        <family val="2"/>
      </rPr>
      <t>28,719 SF</t>
    </r>
  </si>
  <si>
    <r>
      <rPr>
        <sz val="10"/>
        <rFont val="Aptos"/>
        <family val="2"/>
      </rPr>
      <t>WQBE_14B_Infiltration Vault Outwash Soil on Public Property</t>
    </r>
  </si>
  <si>
    <r>
      <rPr>
        <sz val="10"/>
        <rFont val="Aptos"/>
        <family val="2"/>
      </rPr>
      <t>1,156 SF</t>
    </r>
  </si>
  <si>
    <r>
      <rPr>
        <sz val="10"/>
        <rFont val="Aptos"/>
        <family val="2"/>
      </rPr>
      <t>39,365 SF</t>
    </r>
  </si>
  <si>
    <r>
      <rPr>
        <sz val="10"/>
        <rFont val="Aptos"/>
        <family val="2"/>
      </rPr>
      <t>WQBE_14C_Infiltration Vault Till Soil in ROW</t>
    </r>
  </si>
  <si>
    <r>
      <rPr>
        <sz val="10"/>
        <rFont val="Aptos"/>
        <family val="2"/>
      </rPr>
      <t>WQBE_14D_Infiltration Vault Outwash Soil in ROW</t>
    </r>
  </si>
  <si>
    <r>
      <rPr>
        <sz val="10"/>
        <rFont val="Aptos"/>
        <family val="2"/>
      </rPr>
      <t>WQBE_14E_Infiltration Vault Till Soil with Property Cost</t>
    </r>
  </si>
  <si>
    <r>
      <rPr>
        <sz val="10"/>
        <rFont val="Aptos"/>
        <family val="2"/>
      </rPr>
      <t>WQBE_14F_Infiltration Vault Outwash Soil with Property Cost</t>
    </r>
  </si>
  <si>
    <r>
      <rPr>
        <sz val="10"/>
        <rFont val="Aptos"/>
        <family val="2"/>
      </rPr>
      <t>WQBE_14G_Infiltration Vault Outwash Soil with High Rate Underground Filter System in ROW</t>
    </r>
  </si>
  <si>
    <r>
      <rPr>
        <sz val="10"/>
        <rFont val="Aptos"/>
        <family val="2"/>
      </rPr>
      <t>Vault is 1,156 SF; Filter is 24 SF</t>
    </r>
  </si>
  <si>
    <r>
      <rPr>
        <sz val="10"/>
        <rFont val="Aptos"/>
        <family val="2"/>
      </rPr>
      <t>WQBE_14H_Infiltration Vault Outwash Soil with High Rate Underground Filter System with Property Cost</t>
    </r>
  </si>
  <si>
    <r>
      <rPr>
        <sz val="10"/>
        <rFont val="Aptos"/>
        <family val="2"/>
      </rPr>
      <t>WQBE_14I_Infiltration Vault Outwash Soil with High Rate Underground Filter System on Property Cost</t>
    </r>
  </si>
  <si>
    <r>
      <rPr>
        <sz val="10"/>
        <rFont val="Aptos"/>
        <family val="2"/>
      </rPr>
      <t>Cistern</t>
    </r>
  </si>
  <si>
    <r>
      <rPr>
        <sz val="10"/>
        <rFont val="Aptos"/>
        <family val="2"/>
      </rPr>
      <t>WQBE_16_Cistern on Property</t>
    </r>
  </si>
  <si>
    <r>
      <rPr>
        <sz val="10"/>
        <rFont val="Aptos"/>
        <family val="2"/>
      </rPr>
      <t>18 SF</t>
    </r>
  </si>
  <si>
    <r>
      <rPr>
        <sz val="10"/>
        <rFont val="Aptos"/>
        <family val="2"/>
      </rPr>
      <t>1,300 SF</t>
    </r>
  </si>
  <si>
    <r>
      <rPr>
        <sz val="10"/>
        <rFont val="Aptos"/>
        <family val="2"/>
      </rPr>
      <t>Wet pond</t>
    </r>
  </si>
  <si>
    <r>
      <rPr>
        <sz val="10"/>
        <rFont val="Aptos"/>
        <family val="2"/>
      </rPr>
      <t>WQBE_18A_ Wet Pond on Public Property</t>
    </r>
  </si>
  <si>
    <r>
      <rPr>
        <sz val="10"/>
        <rFont val="Aptos"/>
        <family val="2"/>
      </rPr>
      <t>553 SF</t>
    </r>
  </si>
  <si>
    <r>
      <rPr>
        <sz val="10"/>
        <rFont val="Aptos"/>
        <family val="2"/>
      </rPr>
      <t>63,075 SF</t>
    </r>
  </si>
  <si>
    <r>
      <rPr>
        <sz val="10"/>
        <rFont val="Aptos"/>
        <family val="2"/>
      </rPr>
      <t>WQBE_18B_ Wet Pond with Property Cost</t>
    </r>
  </si>
  <si>
    <r>
      <rPr>
        <sz val="10"/>
        <rFont val="Aptos"/>
        <family val="2"/>
      </rPr>
      <t>Wet vault</t>
    </r>
  </si>
  <si>
    <r>
      <rPr>
        <sz val="10"/>
        <rFont val="Aptos"/>
        <family val="2"/>
      </rPr>
      <t>WQBE_19A_ Wet Vault on Public Property</t>
    </r>
  </si>
  <si>
    <r>
      <rPr>
        <sz val="10"/>
        <rFont val="Aptos"/>
        <family val="2"/>
      </rPr>
      <t>1,615 SF</t>
    </r>
  </si>
  <si>
    <r>
      <rPr>
        <sz val="10"/>
        <rFont val="Aptos"/>
        <family val="2"/>
      </rPr>
      <t>63,010 SF</t>
    </r>
  </si>
  <si>
    <r>
      <rPr>
        <sz val="10"/>
        <rFont val="Aptos"/>
        <family val="2"/>
      </rPr>
      <t>WQBE_19B_ Wet Vault in ROW</t>
    </r>
  </si>
  <si>
    <r>
      <rPr>
        <sz val="10"/>
        <rFont val="Aptos"/>
        <family val="2"/>
      </rPr>
      <t>WQBE_19C_ Wet Vault with Property Cost</t>
    </r>
  </si>
  <si>
    <r>
      <rPr>
        <sz val="10"/>
        <rFont val="Aptos"/>
        <family val="2"/>
      </rPr>
      <t>Stormwater treatment wetland</t>
    </r>
  </si>
  <si>
    <r>
      <rPr>
        <sz val="10"/>
        <rFont val="Aptos"/>
        <family val="2"/>
      </rPr>
      <t>WQBE_20A_ Stormwater Treatment Wetland on Public Property</t>
    </r>
  </si>
  <si>
    <r>
      <rPr>
        <sz val="10"/>
        <rFont val="Aptos"/>
        <family val="2"/>
      </rPr>
      <t>503 SF</t>
    </r>
  </si>
  <si>
    <r>
      <rPr>
        <sz val="10"/>
        <rFont val="Aptos"/>
        <family val="2"/>
      </rPr>
      <t>62,988 SF</t>
    </r>
  </si>
  <si>
    <r>
      <rPr>
        <sz val="10"/>
        <rFont val="Aptos"/>
        <family val="2"/>
      </rPr>
      <t>WQBE_20B_ Stormwater Treatment Wetland with Property Cost</t>
    </r>
  </si>
  <si>
    <r>
      <rPr>
        <sz val="10"/>
        <rFont val="Aptos"/>
        <family val="2"/>
      </rPr>
      <t>High-rate underground filter system</t>
    </r>
  </si>
  <si>
    <r>
      <rPr>
        <sz val="10"/>
        <rFont val="Aptos"/>
        <family val="2"/>
      </rPr>
      <t>WQBE_21A_High Rate Underground Filter in Urban ROW PCCP</t>
    </r>
  </si>
  <si>
    <r>
      <rPr>
        <sz val="10"/>
        <rFont val="Aptos"/>
        <family val="2"/>
      </rPr>
      <t>16 SF</t>
    </r>
  </si>
  <si>
    <r>
      <rPr>
        <sz val="10"/>
        <rFont val="Aptos"/>
        <family val="2"/>
      </rPr>
      <t>34,956 SF</t>
    </r>
  </si>
  <si>
    <r>
      <rPr>
        <sz val="10"/>
        <rFont val="Aptos"/>
        <family val="2"/>
      </rPr>
      <t>WQBE_21B_High Rate Underground Filter in Highway ROW PCCP</t>
    </r>
  </si>
  <si>
    <r>
      <rPr>
        <sz val="10"/>
        <rFont val="Aptos"/>
        <family val="2"/>
      </rPr>
      <t>WQBE_21C_High Rate Underground Filter in Urban ROW HMA</t>
    </r>
  </si>
  <si>
    <r>
      <rPr>
        <sz val="10"/>
        <rFont val="Aptos"/>
        <family val="2"/>
      </rPr>
      <t>WQBE_21D_High Rate Underground Filter in Highway ROW HMA</t>
    </r>
  </si>
  <si>
    <r>
      <rPr>
        <sz val="10"/>
        <rFont val="Aptos"/>
        <family val="2"/>
      </rPr>
      <t>WQBE 21E_High Rate Underground Filter on Public Property</t>
    </r>
  </si>
  <si>
    <r>
      <rPr>
        <sz val="10"/>
        <rFont val="Aptos"/>
        <family val="2"/>
      </rPr>
      <t>WQBE 21F_High Rate Underground Filter with Property Cost</t>
    </r>
  </si>
  <si>
    <r>
      <rPr>
        <sz val="10"/>
        <rFont val="Aptos"/>
        <family val="2"/>
      </rPr>
      <t>Stormwater park</t>
    </r>
  </si>
  <si>
    <r>
      <rPr>
        <sz val="10"/>
        <rFont val="Aptos"/>
        <family val="2"/>
      </rPr>
      <t>WQBE_22A_Regional Vegetated Media SW Facility on Public Property</t>
    </r>
  </si>
  <si>
    <r>
      <rPr>
        <sz val="10"/>
        <rFont val="Aptos"/>
        <family val="2"/>
      </rPr>
      <t>5,940 SF</t>
    </r>
  </si>
  <si>
    <r>
      <rPr>
        <sz val="10"/>
        <rFont val="Aptos"/>
        <family val="2"/>
      </rPr>
      <t>17,249,760 SF</t>
    </r>
  </si>
  <si>
    <r>
      <rPr>
        <sz val="10"/>
        <rFont val="Aptos"/>
        <family val="2"/>
      </rPr>
      <t>WQBE_22B_Regional Vegetated Media SW Facility with Property Cost</t>
    </r>
  </si>
  <si>
    <r>
      <rPr>
        <sz val="10"/>
        <rFont val="Aptos"/>
        <family val="2"/>
      </rPr>
      <t>Sports field and park detention</t>
    </r>
  </si>
  <si>
    <r>
      <rPr>
        <sz val="10"/>
        <rFont val="Aptos"/>
        <family val="2"/>
      </rPr>
      <t>WQBE_23_Sports Field and Park Detention</t>
    </r>
  </si>
  <si>
    <r>
      <rPr>
        <sz val="10"/>
        <rFont val="Aptos"/>
        <family val="2"/>
      </rPr>
      <t>29,600 SF</t>
    </r>
  </si>
  <si>
    <r>
      <rPr>
        <sz val="10"/>
        <rFont val="Aptos"/>
        <family val="2"/>
      </rPr>
      <t>103,800 SF</t>
    </r>
  </si>
  <si>
    <r>
      <rPr>
        <sz val="10"/>
        <rFont val="Aptos"/>
        <family val="2"/>
      </rPr>
      <t>Blue roof</t>
    </r>
  </si>
  <si>
    <r>
      <rPr>
        <sz val="10"/>
        <rFont val="Aptos"/>
        <family val="2"/>
      </rPr>
      <t>WQBE_24_Blue Roof</t>
    </r>
  </si>
  <si>
    <r>
      <rPr>
        <sz val="10"/>
        <rFont val="Aptos"/>
        <family val="2"/>
      </rPr>
      <t>1,000 SF</t>
    </r>
  </si>
  <si>
    <r>
      <rPr>
        <sz val="10"/>
        <rFont val="Aptos"/>
        <family val="2"/>
      </rPr>
      <t>Compost amendment</t>
    </r>
  </si>
  <si>
    <r>
      <rPr>
        <sz val="10"/>
        <rFont val="Aptos"/>
        <family val="2"/>
      </rPr>
      <t>WQBE_25_Compost Amendment</t>
    </r>
  </si>
  <si>
    <r>
      <rPr>
        <sz val="10"/>
        <rFont val="Aptos"/>
        <family val="2"/>
      </rPr>
      <t>500 SF</t>
    </r>
  </si>
  <si>
    <r>
      <rPr>
        <sz val="10"/>
        <rFont val="Aptos"/>
        <family val="2"/>
      </rPr>
      <t>Reforest High Density Development</t>
    </r>
  </si>
  <si>
    <r>
      <rPr>
        <sz val="10"/>
        <rFont val="Aptos"/>
        <family val="2"/>
      </rPr>
      <t>WQBE_26A_Reforestation High Density Development - On Property</t>
    </r>
  </si>
  <si>
    <r>
      <rPr>
        <sz val="10"/>
        <rFont val="Aptos"/>
        <family val="2"/>
      </rPr>
      <t>43,560 SF</t>
    </r>
  </si>
  <si>
    <r>
      <rPr>
        <sz val="10"/>
        <rFont val="Aptos"/>
        <family val="2"/>
      </rPr>
      <t>WQBE26B_Reforestation High Density Development with Property Cost</t>
    </r>
  </si>
  <si>
    <r>
      <rPr>
        <sz val="10"/>
        <rFont val="Aptos"/>
        <family val="2"/>
      </rPr>
      <t>Reforest Pervious Area</t>
    </r>
  </si>
  <si>
    <r>
      <rPr>
        <sz val="10"/>
        <rFont val="Aptos"/>
        <family val="2"/>
      </rPr>
      <t>WQBE_26C_Reforestation Pervious Area on Property</t>
    </r>
  </si>
  <si>
    <r>
      <rPr>
        <sz val="10"/>
        <rFont val="Aptos"/>
        <family val="2"/>
      </rPr>
      <t>WQBE_26C_Reforestation Pervious Area with Property Cost</t>
    </r>
  </si>
  <si>
    <t>Total Indirect Non-Construction Cost ©</t>
  </si>
  <si>
    <t>Net Present Value 30-year Life-Cycle Cost (2023) PV(d)+PV€</t>
  </si>
  <si>
    <t>code</t>
  </si>
  <si>
    <t>Tacoma Type</t>
  </si>
  <si>
    <t>WQBE_Full_Description</t>
  </si>
  <si>
    <t>WQBE_Code</t>
  </si>
  <si>
    <t>Description</t>
  </si>
  <si>
    <t>WQBE Action</t>
  </si>
  <si>
    <t>Category</t>
  </si>
  <si>
    <t>Tacoma BMP Type</t>
  </si>
  <si>
    <t>_drop_wqbe</t>
  </si>
  <si>
    <t>WQBE 01_Rain Garden Installation on Property</t>
  </si>
  <si>
    <t>Rain Garden Installation</t>
  </si>
  <si>
    <t>Green Stormwater Infrastructure (GSI)</t>
  </si>
  <si>
    <t>None</t>
  </si>
  <si>
    <t>WQBE 02A_Bioretention Planter on Property</t>
  </si>
  <si>
    <t>Bioretention Planter Installation</t>
  </si>
  <si>
    <t>Vegetated Box</t>
  </si>
  <si>
    <t>WQBE_02B_Bioretention Planter in ROW</t>
  </si>
  <si>
    <t>WQBE_02C_Bioretention Planter with Property Cost</t>
  </si>
  <si>
    <t>WQBE_03A_Bioretention Underdrain on Property</t>
  </si>
  <si>
    <t>Bioretention Installation</t>
  </si>
  <si>
    <t>Bioretention</t>
  </si>
  <si>
    <t>WQBE_03Aa_Bioretention Underdrain with Property Cost</t>
  </si>
  <si>
    <t>WQBE_03B_Bioretention No Underdrain on Property</t>
  </si>
  <si>
    <t>WQBE_03Bb_Bioretention No Underdrain with Property Cost</t>
  </si>
  <si>
    <t>WQBE_03C_Bioretention Underdrain in ROW</t>
  </si>
  <si>
    <t>WQBE_03D_Bioretention No Underdrain in ROW</t>
  </si>
  <si>
    <t>WQBE_04A_Bioswale in ROW</t>
  </si>
  <si>
    <t>Bioswale Installation</t>
  </si>
  <si>
    <t>Swale</t>
  </si>
  <si>
    <t>WQBE_04B_Bioswale on Public Property</t>
  </si>
  <si>
    <t>WQBE_04C_Bioswale with Property Cost</t>
  </si>
  <si>
    <t>WQBE_05A_Media Filter Drain Underdrain</t>
  </si>
  <si>
    <t>Media Filter Drains</t>
  </si>
  <si>
    <t>Media Filter</t>
  </si>
  <si>
    <t>WQBE_05B_Media Filter Drain No Underdrain</t>
  </si>
  <si>
    <t>WQBE_06_Drywell on Property</t>
  </si>
  <si>
    <t>Drywell</t>
  </si>
  <si>
    <t>WQBE_06B_Drywell with Bioretention Planter on Property</t>
  </si>
  <si>
    <t>WQBE_07A_Deep UIC Well on Property</t>
  </si>
  <si>
    <t>Deep UIC Well</t>
  </si>
  <si>
    <t>WQBE_07B_Deep UIC Well in ROW</t>
  </si>
  <si>
    <t>WQBE_07C_Deep UIC Well with Property Cost</t>
  </si>
  <si>
    <t>WQBE_07D_Deep UIC Well with Filter in ROW</t>
  </si>
  <si>
    <t>WQBE_07E_Deep UIC Well with Bioretention Planter in ROW</t>
  </si>
  <si>
    <t>WQBE_07F_Deep UIC Well with Bioretention Planter on Property</t>
  </si>
  <si>
    <t>WQBE_08A_Pervious Concrete Sidewalk (no sand layer)</t>
  </si>
  <si>
    <t>Permeable Pavement</t>
  </si>
  <si>
    <t>Pervious Pavement</t>
  </si>
  <si>
    <t>WQBE_08B_Porous Asphalt Driveway (with sand layer)</t>
  </si>
  <si>
    <t>WQBE_08C_Permeable Paver Driveway (with sand layer)</t>
  </si>
  <si>
    <t>WQBE_08D_Permeable Paver Plaza (no sand layer)</t>
  </si>
  <si>
    <t>WQBE_11A_Detention Vault on Public Property</t>
  </si>
  <si>
    <t>Detention Vault</t>
  </si>
  <si>
    <t>Stormwater Retention/Detention/Infiltration</t>
  </si>
  <si>
    <t>Tank</t>
  </si>
  <si>
    <t>WQBE_11B_Detention Vault in ROW</t>
  </si>
  <si>
    <t>WQBE_11C_Detention Vault with Property Cost</t>
  </si>
  <si>
    <t>WQBE_12A_Detention Pond on Public Property</t>
  </si>
  <si>
    <t>Detention Pond</t>
  </si>
  <si>
    <t>WQBE_12B_Detention Pond with Property Cost</t>
  </si>
  <si>
    <t>WQBE_13A_Infiltration Pond Till Soil on Public Property</t>
  </si>
  <si>
    <t>Infiltration Pond</t>
  </si>
  <si>
    <t>Pond</t>
  </si>
  <si>
    <t>WQBE_13B_Infiltration Pond Outwash Soil on Public Property</t>
  </si>
  <si>
    <t>WQBE_13C_Infiltration Pond Till Soil with Property Cost</t>
  </si>
  <si>
    <t>WQBE_13D_Infiltration Pond Outwash Soil with Property Cost</t>
  </si>
  <si>
    <t>WQBE_13E_Infiltration Pond Outwash Soil with High Rate Underground Filter System on Public Property</t>
  </si>
  <si>
    <t>WQBE_14A_Infiltration Vault Till Soil on Public Property</t>
  </si>
  <si>
    <t>Infiltration Vault</t>
  </si>
  <si>
    <t>Vault</t>
  </si>
  <si>
    <t>WQBE_14B_Infiltration Vault Outwash Soil on Public Property</t>
  </si>
  <si>
    <t>WQBE_14C_Infiltration Vault Till Soil in ROW</t>
  </si>
  <si>
    <t>WQBE_14D_Infiltration Vault Outwash Soil in ROW</t>
  </si>
  <si>
    <t>WQBE_14E_Infiltration Vault Till Soil with Property Cost</t>
  </si>
  <si>
    <t>WQBE_14F_Infiltration Vault Outwash Soil with Property Cost</t>
  </si>
  <si>
    <t>WQBE_14G_Infiltration Vault Outwash Soil with High Rate Underground Filter System in ROW</t>
  </si>
  <si>
    <t>WQBE_16_Cistern on Property</t>
  </si>
  <si>
    <t>Cistern</t>
  </si>
  <si>
    <t>WQBE_9A_Removal of Impervious Surfaces on Property (wheel strips)</t>
  </si>
  <si>
    <t>Depaving (removal of impervious surfaces)</t>
  </si>
  <si>
    <t>WQBE_9B_Removal of Impervious Surfaces on Property (no wheel strips)</t>
  </si>
  <si>
    <t>--</t>
  </si>
  <si>
    <t>Swirl Separator</t>
  </si>
  <si>
    <t>Oil Water Separator</t>
  </si>
  <si>
    <t>Sand Filter</t>
  </si>
  <si>
    <t>sizing_method</t>
  </si>
  <si>
    <t>sizing_unit</t>
  </si>
  <si>
    <t>sizing_base_value</t>
  </si>
  <si>
    <t>sqft</t>
  </si>
  <si>
    <t>area</t>
  </si>
  <si>
    <t>tacoma_type</t>
  </si>
  <si>
    <t>TDCC_cpu</t>
  </si>
  <si>
    <t>TINCC_cpu</t>
  </si>
  <si>
    <t>TotalCapital_cpu</t>
  </si>
  <si>
    <t>OM_cpu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</si>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</sst>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_(* #,##0_);_(* \(#,##0\);_(* &quot;-&quot;??_);_(@_)"/>
    <numFmt numFmtId="168" formatCode="_(&quot;$&quot;* #,##0_);_(&quot;$&quot;* \(#,##0\);_(&quot;$&quot;* &quot;-&quot;??_);_(@_)"/>
  </numFmts>
  <fonts count="11" x14ac:knownFonts="1">
    <font>
      <sz val="10"/>
      <color rgb="FF000000"/>
      <name val="Times New Roman"/>
      <charset val="204"/>
    </font>
    <font>
      <sz val="10"/>
      <color rgb="FF000000"/>
      <name val="Aptos"/>
      <family val="2"/>
    </font>
    <font>
      <b/>
      <sz val="10"/>
      <name val="Aptos"/>
      <family val="2"/>
    </font>
    <font>
      <sz val="10"/>
      <name val="Aptos"/>
      <family val="2"/>
    </font>
    <font>
      <vertAlign val="superscript"/>
      <sz val="10"/>
      <name val="Aptos"/>
      <family val="2"/>
    </font>
    <font>
      <sz val="10"/>
      <color rgb="FF000000"/>
      <name val="Times New Roman"/>
      <charset val="204"/>
    </font>
    <font>
      <sz val="12"/>
      <color theme="1"/>
      <name val="Calibri"/>
      <family val="2"/>
      <scheme val="minor"/>
    </font>
    <font>
      <b/>
      <sz val="10"/>
      <color rgb="FF000000"/>
      <name val="Aptos"/>
      <family val="2"/>
    </font>
    <font>
      <sz val="8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6" fillId="0" borderId="0"/>
  </cellStyleXfs>
  <cellXfs count="1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1" fontId="1" fillId="0" borderId="0" xfId="1" applyNumberFormat="1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1" fontId="1" fillId="2" borderId="0" xfId="1" applyNumberFormat="1" applyFont="1" applyFill="1" applyAlignment="1">
      <alignment horizontal="left" vertical="top" wrapText="1"/>
    </xf>
    <xf numFmtId="1" fontId="2" fillId="2" borderId="0" xfId="1" applyNumberFormat="1" applyFont="1" applyFill="1" applyAlignment="1">
      <alignment horizontal="left" vertical="top" wrapText="1"/>
    </xf>
    <xf numFmtId="1" fontId="3" fillId="2" borderId="0" xfId="1" applyNumberFormat="1" applyFont="1" applyFill="1" applyAlignment="1">
      <alignment horizontal="left" vertical="top" wrapText="1"/>
    </xf>
    <xf numFmtId="0" fontId="6" fillId="0" borderId="0" xfId="3"/>
    <xf numFmtId="0" fontId="3" fillId="0" borderId="0" xfId="0" applyFont="1" applyAlignment="1">
      <alignment horizontal="left" vertical="top" wrapText="1"/>
    </xf>
    <xf numFmtId="0" fontId="6" fillId="0" borderId="0" xfId="3" applyNumberFormat="1"/>
    <xf numFmtId="0" fontId="7" fillId="0" borderId="0" xfId="0" applyFont="1" applyAlignment="1">
      <alignment horizontal="left" vertical="top"/>
    </xf>
    <xf numFmtId="166" fontId="3" fillId="0" borderId="0" xfId="1" applyNumberFormat="1" applyFont="1" applyAlignment="1">
      <alignment horizontal="left" vertical="top" wrapText="1"/>
    </xf>
    <xf numFmtId="166" fontId="1" fillId="0" borderId="0" xfId="1" applyNumberFormat="1" applyFont="1" applyAlignment="1">
      <alignment horizontal="left" vertical="top"/>
    </xf>
    <xf numFmtId="168" fontId="1" fillId="0" borderId="0" xfId="2" applyNumberFormat="1" applyFont="1" applyAlignment="1">
      <alignment horizontal="left" vertical="top"/>
    </xf>
  </cellXfs>
  <cellStyles count="4">
    <cellStyle name="Comma" xfId="1" builtinId="3"/>
    <cellStyle name="Currency" xfId="2" builtinId="4"/>
    <cellStyle name="Normal" xfId="0" builtinId="0"/>
    <cellStyle name="Normal 2" xfId="3" xr:uid="{CB479B04-716E-4395-BC26-730CED627F01}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68" formatCode="_(&quot;$&quot;* #,##0_);_(&quot;$&quot;* \(#,##0\);_(&quot;$&quot;* &quot;-&quot;??_);_(@_)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" formatCode="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68" formatCode="_(&quot;$&quot;* #,##0_);_(&quot;$&quot;* \(#,##0\);_(&quot;$&quot;* &quot;-&quot;??_);_(@_)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68" formatCode="_(&quot;$&quot;* #,##0_);_(&quot;$&quot;* \(#,##0\);_(&quot;$&quot;* &quot;-&quot;??_);_(@_)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68" formatCode="_(&quot;$&quot;* #,##0_);_(&quot;$&quot;* \(#,##0\);_(&quot;$&quot;* &quot;-&quot;??_);_(@_)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68" formatCode="_(&quot;$&quot;* #,##0_);_(&quot;$&quot;* \(#,##0\);_(&quot;$&quot;* &quot;-&quot;??_);_(@_)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68" formatCode="_(&quot;$&quot;* #,##0_);_(&quot;$&quot;* \(#,##0\);_(&quot;$&quot;* &quot;-&quot;??_);_(@_)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68" formatCode="_(&quot;$&quot;* #,##0_);_(&quot;$&quot;* \(#,##0\);_(&quot;$&quot;* &quot;-&quot;??_);_(@_)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68" formatCode="_(&quot;$&quot;* #,##0_);_(&quot;$&quot;* \(#,##0\);_(&quot;$&quot;* &quot;-&quot;??_);_(@_)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68" formatCode="_(&quot;$&quot;* #,##0_);_(&quot;$&quot;* \(#,##0\);_(&quot;$&quot;* &quot;-&quot;??_);_(@_)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68" formatCode="_(&quot;$&quot;* #,##0_);_(&quot;$&quot;* \(#,##0\);_(&quot;$&quot;* &quot;-&quot;??_);_(@_)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" formatCode="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66" formatCode="_(* #,##0_);_(* \(#,##0\);_(* &quot;-&quot;??_);_(@_)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" formatCode="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eosyntec.sharepoint.com/sites/CityofTacoma/Shared%20Documents/Watershed%20Tool%20Updates%20(PNW0525)/PNW0525B/Technical/task4/Task%204%20Deliverable%20-%20KingCounty2022WQBECostTable.xlsx" TargetMode="External"/><Relationship Id="rId1" Type="http://schemas.openxmlformats.org/officeDocument/2006/relationships/externalLinkPath" Target="Task%204%20Deliverable%20-%20KingCounty2022WQBECost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KingCoReferences"/>
      <sheetName val="BMP Crosswalk"/>
      <sheetName val="Lookup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72629-6BE1-40A8-BCB7-6DAA5F85087B}" name="Table1" displayName="Table1" ref="A1:T74" totalsRowShown="0" headerRowDxfId="21" dataDxfId="22">
  <autoFilter ref="A1:T74" xr:uid="{46972629-6BE1-40A8-BCB7-6DAA5F85087B}"/>
  <tableColumns count="20">
    <tableColumn id="1" xr3:uid="{AC13FCF0-5D81-43D5-B02C-7590D9D784C6}" name="Action" dataDxfId="24"/>
    <tableColumn id="2" xr3:uid="{8A287F80-3606-4137-A356-CF54C431906E}" name="description" dataDxfId="23"/>
    <tableColumn id="14" xr3:uid="{AD146716-EACA-4310-BAB7-657E861156A7}" name="sizing_method" dataDxfId="16"/>
    <tableColumn id="15" xr3:uid="{2015401D-DA34-4FDB-8258-FCA190A4E9ED}" name="sizing_unit" dataDxfId="15"/>
    <tableColumn id="16" xr3:uid="{E890CB1C-257B-457A-88E3-D1A8F747BF05}" name="sizing_base_value" dataDxfId="13" dataCellStyle="Comma"/>
    <tableColumn id="3" xr3:uid="{6AAA6D37-5464-49D7-AF11-B92CE18D48C5}" name="Action Unit Footprint Area" dataDxfId="14"/>
    <tableColumn id="4" xr3:uid="{D90A4687-022F-429A-953D-462ED6936C49}" name="Design Drainage Area" dataDxfId="7"/>
    <tableColumn id="5" xr3:uid="{61CF04FE-E254-41EB-9035-6CA58C8E6FC2}" name="Total Direct Construction Cost (a)" dataDxfId="6" dataCellStyle="Currency"/>
    <tableColumn id="6" xr3:uid="{CBBAC3D7-F40E-4DDE-B6C3-49C81387B008}" name="Property Acquisition Cost (b)" dataDxfId="5" dataCellStyle="Currency"/>
    <tableColumn id="7" xr3:uid="{E2BDB978-2A4A-4DC0-A768-7ED1705050F2}" name="Total Indirect Non-Construction Cost ©" dataDxfId="4" dataCellStyle="Currency"/>
    <tableColumn id="8" xr3:uid="{E9FA007F-17EF-49B5-9048-3C3687184476}" name="Total Project Cost (d) (a)+(b)+©" dataDxfId="3" dataCellStyle="Currency"/>
    <tableColumn id="9" xr3:uid="{7B22979B-E18A-4D65-AB05-89D4FEA08B9B}" name="O&amp;M Costs (Annual) (e)" dataDxfId="2" dataCellStyle="Currency"/>
    <tableColumn id="10" xr3:uid="{97F43CEC-C505-43A9-87E6-9FC89B7E9810}" name="Net Present Value 30-year Life-Cycle Cost (2023) PV(d)+PV€" dataDxfId="0" dataCellStyle="Currency"/>
    <tableColumn id="13" xr3:uid="{AC91F056-596B-4FC2-BD2B-7C4F7FB5AF0B}" name="_drop_wqbe" dataDxfId="1" dataCellStyle="Comma">
      <calculatedColumnFormula>RIGHT(Table1[[#This Row],[description]], LEN(Table1[[#This Row],[description]])-5)</calculatedColumnFormula>
    </tableColumn>
    <tableColumn id="11" xr3:uid="{1D17ED6C-65D3-4DAB-AA61-FB7FDB80AC64}" name="code" dataDxfId="20" dataCellStyle="Comma">
      <calculatedColumnFormula>LEFT(Table1[[#This Row],[_drop_wqbe]],FIND("_",Table1[[#This Row],[_drop_wqbe]])-1)</calculatedColumnFormula>
    </tableColumn>
    <tableColumn id="12" xr3:uid="{8385E314-5CEA-47EE-B8E2-B21C17760635}" name="tacoma_type" dataDxfId="12" dataCellStyle="Comma">
      <calculatedColumnFormula>_xlfn.XLOOKUP(Table1[[#This Row],[code]],'BMP Crosswalk'!B:B,'BMP Crosswalk'!F:F,"--",0,1)</calculatedColumnFormula>
    </tableColumn>
    <tableColumn id="18" xr3:uid="{708CEFEB-E2CC-43BF-B4C7-5BE5047EB97A}" name="TDCC_cpu" dataDxfId="11" dataCellStyle="Currency">
      <calculatedColumnFormula>Table1[[#This Row],[Total Direct Construction Cost (a)]]/Table1[[#This Row],[sizing_base_value]]</calculatedColumnFormula>
    </tableColumn>
    <tableColumn id="19" xr3:uid="{041AEF47-6878-405C-B740-03059328D7AD}" name="TINCC_cpu" dataDxfId="10" dataCellStyle="Currency">
      <calculatedColumnFormula>Table1[[#This Row],[Total Indirect Non-Construction Cost ©]]/Table1[[#This Row],[sizing_base_value]]</calculatedColumnFormula>
    </tableColumn>
    <tableColumn id="20" xr3:uid="{8CA08286-1FE6-4828-867B-B1688071D9BA}" name="TotalCapital_cpu" dataDxfId="9" dataCellStyle="Currency">
      <calculatedColumnFormula>Table1[[#This Row],[Total Project Cost (d) (a)+(b)+©]]/Table1[[#This Row],[sizing_base_value]]</calculatedColumnFormula>
    </tableColumn>
    <tableColumn id="21" xr3:uid="{B112EF7B-77FA-4813-90AA-9BDBCA502A86}" name="OM_cpu" dataDxfId="8" dataCellStyle="Currency">
      <calculatedColumnFormula>Table1[[#This Row],[O&amp;M Costs (Annual) (e)]]/Table1[[#This Row],[sizing_base_value]]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7D715D-ECEC-4D4A-B424-FEB8EC7812F9}" name="Table4" displayName="Table4" ref="A1:G70" totalsRowShown="0">
  <autoFilter ref="A1:G70" xr:uid="{810909DE-BF1A-C748-A6C3-E2F6DE98E429}"/>
  <sortState xmlns:xlrd2="http://schemas.microsoft.com/office/spreadsheetml/2017/richdata2" ref="A2:G48">
    <sortCondition ref="B1:B48"/>
  </sortState>
  <tableColumns count="7">
    <tableColumn id="3" xr3:uid="{41D77774-06DF-4392-8447-526FD27ABDF6}" name="WQBE_Full_Description"/>
    <tableColumn id="7" xr3:uid="{415A2454-523F-48BC-9D35-4442E81D6B43}" name="WQBE_Code" dataDxfId="19">
      <calculatedColumnFormula>LEFT(Table4[[#This Row],[_drop_wqbe]],FIND("_",Table4[[#This Row],[_drop_wqbe]])-1)</calculatedColumnFormula>
    </tableColumn>
    <tableColumn id="9" xr3:uid="{0FB2D62B-6E8E-4C57-B16C-815518F3F90E}" name="Description" dataDxfId="18">
      <calculatedColumnFormula>RIGHT(Table4[[#This Row],[_drop_wqbe]],LEN(Table4[[#This Row],[_drop_wqbe]])-FIND("_",Table4[[#This Row],[_drop_wqbe]]))</calculatedColumnFormula>
    </tableColumn>
    <tableColumn id="1" xr3:uid="{16EBAEDB-02BB-4417-A956-C9569F2871F5}" name="WQBE Action"/>
    <tableColumn id="2" xr3:uid="{2E5C004C-66D4-4EDD-B034-E0BF31E40742}" name="Category"/>
    <tableColumn id="4" xr3:uid="{26276E2F-E5A2-455C-B4DC-AD3C4CFDC00D}" name="Tacoma BMP Type"/>
    <tableColumn id="8" xr3:uid="{51CADC7E-0CD8-48C1-82B4-924F2FED5523}" name="_drop_wqbe" dataDxfId="17">
      <calculatedColumnFormula>RIGHT(Table4[[#This Row],[WQBE_Full_Description]], LEN(Table4[[#This Row],[WQBE_Full_Description]])-5)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"/>
  <sheetViews>
    <sheetView tabSelected="1" workbookViewId="0">
      <selection activeCell="A19" sqref="A19"/>
    </sheetView>
  </sheetViews>
  <sheetFormatPr defaultRowHeight="13.5" x14ac:dyDescent="0.2"/>
  <cols>
    <col min="1" max="1" width="41.83203125" style="1" bestFit="1" customWidth="1"/>
    <col min="2" max="2" width="59" style="1" customWidth="1"/>
    <col min="3" max="3" width="18.5" style="1" bestFit="1" customWidth="1"/>
    <col min="4" max="4" width="14.5" style="1" bestFit="1" customWidth="1"/>
    <col min="5" max="5" width="22.5" style="14" bestFit="1" customWidth="1"/>
    <col min="6" max="6" width="30.1640625" style="1" customWidth="1"/>
    <col min="7" max="7" width="27.1640625" style="1" customWidth="1"/>
    <col min="8" max="8" width="37" style="3" customWidth="1"/>
    <col min="9" max="9" width="32.1640625" style="3" customWidth="1"/>
    <col min="10" max="10" width="42.6640625" style="3" customWidth="1"/>
    <col min="11" max="11" width="34.1640625" style="3" customWidth="1"/>
    <col min="12" max="12" width="27" style="3" customWidth="1"/>
    <col min="13" max="13" width="18.1640625" style="3" customWidth="1"/>
    <col min="14" max="14" width="64.83203125" style="3" customWidth="1"/>
    <col min="15" max="15" width="12.6640625" style="1" customWidth="1"/>
    <col min="16" max="16" width="19.5" style="1" bestFit="1" customWidth="1"/>
    <col min="17" max="18" width="12" style="1" bestFit="1" customWidth="1"/>
    <col min="19" max="19" width="13.33203125" style="1" bestFit="1" customWidth="1"/>
    <col min="20" max="20" width="11" style="1" bestFit="1" customWidth="1"/>
    <col min="21" max="16384" width="9.33203125" style="1"/>
  </cols>
  <sheetData>
    <row r="1" spans="1:20" s="2" customFormat="1" ht="67.5" x14ac:dyDescent="0.2">
      <c r="A1" s="5" t="s">
        <v>1</v>
      </c>
      <c r="B1" s="10" t="s">
        <v>252</v>
      </c>
      <c r="C1" s="10" t="s">
        <v>242</v>
      </c>
      <c r="D1" s="10" t="s">
        <v>243</v>
      </c>
      <c r="E1" s="13" t="s">
        <v>244</v>
      </c>
      <c r="F1" s="5" t="s">
        <v>2</v>
      </c>
      <c r="G1" s="5" t="s">
        <v>3</v>
      </c>
      <c r="H1" s="6" t="s">
        <v>4</v>
      </c>
      <c r="I1" s="6" t="s">
        <v>5</v>
      </c>
      <c r="J1" s="7" t="s">
        <v>155</v>
      </c>
      <c r="K1" s="6" t="s">
        <v>0</v>
      </c>
      <c r="L1" s="6" t="s">
        <v>6</v>
      </c>
      <c r="M1" s="8" t="s">
        <v>156</v>
      </c>
      <c r="N1" s="8" t="s">
        <v>165</v>
      </c>
      <c r="O1" s="4" t="s">
        <v>157</v>
      </c>
      <c r="P1" s="4" t="s">
        <v>247</v>
      </c>
      <c r="Q1" s="4" t="s">
        <v>248</v>
      </c>
      <c r="R1" s="4" t="s">
        <v>249</v>
      </c>
      <c r="S1" s="4" t="s">
        <v>250</v>
      </c>
      <c r="T1" s="4" t="s">
        <v>251</v>
      </c>
    </row>
    <row r="2" spans="1:20" x14ac:dyDescent="0.2">
      <c r="A2" s="1" t="s">
        <v>7</v>
      </c>
      <c r="B2" s="1" t="s">
        <v>8</v>
      </c>
      <c r="C2" s="1" t="s">
        <v>246</v>
      </c>
      <c r="D2" s="1" t="s">
        <v>245</v>
      </c>
      <c r="E2" s="14">
        <v>25</v>
      </c>
      <c r="F2" s="1" t="s">
        <v>9</v>
      </c>
      <c r="G2" s="1" t="s">
        <v>10</v>
      </c>
      <c r="H2" s="15">
        <v>5800</v>
      </c>
      <c r="I2" s="15">
        <v>0</v>
      </c>
      <c r="J2" s="15">
        <v>2400</v>
      </c>
      <c r="K2" s="15">
        <v>8200</v>
      </c>
      <c r="L2" s="15">
        <v>2100</v>
      </c>
      <c r="M2" s="15">
        <v>56700</v>
      </c>
      <c r="N2" s="3" t="str">
        <f>RIGHT(Table1[[#This Row],[description]], LEN(Table1[[#This Row],[description]])-5)</f>
        <v>01_Rain Garden Installation on Property (Program)</v>
      </c>
      <c r="O2" s="3" t="str">
        <f>LEFT(Table1[[#This Row],[_drop_wqbe]],FIND("_",Table1[[#This Row],[_drop_wqbe]])-1)</f>
        <v>01</v>
      </c>
      <c r="P2" s="3" t="str">
        <f>_xlfn.XLOOKUP(Table1[[#This Row],[code]],'BMP Crosswalk'!B:B,'BMP Crosswalk'!F:F,"--",0,1)</f>
        <v>Bioretention</v>
      </c>
      <c r="Q2" s="15">
        <f>Table1[[#This Row],[Total Direct Construction Cost (a)]]/Table1[[#This Row],[sizing_base_value]]</f>
        <v>232</v>
      </c>
      <c r="R2" s="15">
        <f>Table1[[#This Row],[Total Indirect Non-Construction Cost ©]]/Table1[[#This Row],[sizing_base_value]]</f>
        <v>96</v>
      </c>
      <c r="S2" s="15">
        <f>Table1[[#This Row],[Total Project Cost (d) (a)+(b)+©]]/Table1[[#This Row],[sizing_base_value]]</f>
        <v>328</v>
      </c>
      <c r="T2" s="15">
        <f>Table1[[#This Row],[O&amp;M Costs (Annual) (e)]]/Table1[[#This Row],[sizing_base_value]]</f>
        <v>84</v>
      </c>
    </row>
    <row r="3" spans="1:20" x14ac:dyDescent="0.2">
      <c r="A3" s="1" t="s">
        <v>11</v>
      </c>
      <c r="B3" s="1" t="s">
        <v>12</v>
      </c>
      <c r="C3" s="1" t="s">
        <v>246</v>
      </c>
      <c r="D3" s="1" t="s">
        <v>245</v>
      </c>
      <c r="E3" s="14">
        <v>25</v>
      </c>
      <c r="F3" s="1" t="s">
        <v>9</v>
      </c>
      <c r="G3" s="1" t="s">
        <v>13</v>
      </c>
      <c r="H3" s="15">
        <v>18700</v>
      </c>
      <c r="I3" s="15">
        <v>0</v>
      </c>
      <c r="J3" s="15">
        <v>7800</v>
      </c>
      <c r="K3" s="15">
        <v>26500</v>
      </c>
      <c r="L3" s="15">
        <v>2800</v>
      </c>
      <c r="M3" s="15">
        <v>86600</v>
      </c>
      <c r="N3" s="3" t="str">
        <f>RIGHT(Table1[[#This Row],[description]], LEN(Table1[[#This Row],[description]])-5)</f>
        <v>02A_Bioretention Planter on Property</v>
      </c>
      <c r="O3" s="3" t="str">
        <f>LEFT(Table1[[#This Row],[_drop_wqbe]],FIND("_",Table1[[#This Row],[_drop_wqbe]])-1)</f>
        <v>02A</v>
      </c>
      <c r="P3" s="3" t="str">
        <f>_xlfn.XLOOKUP(Table1[[#This Row],[code]],'BMP Crosswalk'!B:B,'BMP Crosswalk'!F:F,"--",0,1)</f>
        <v>Vegetated Box</v>
      </c>
      <c r="Q3" s="15">
        <f>Table1[[#This Row],[Total Direct Construction Cost (a)]]/Table1[[#This Row],[sizing_base_value]]</f>
        <v>748</v>
      </c>
      <c r="R3" s="15">
        <f>Table1[[#This Row],[Total Indirect Non-Construction Cost ©]]/Table1[[#This Row],[sizing_base_value]]</f>
        <v>312</v>
      </c>
      <c r="S3" s="15">
        <f>Table1[[#This Row],[Total Project Cost (d) (a)+(b)+©]]/Table1[[#This Row],[sizing_base_value]]</f>
        <v>1060</v>
      </c>
      <c r="T3" s="15">
        <f>Table1[[#This Row],[O&amp;M Costs (Annual) (e)]]/Table1[[#This Row],[sizing_base_value]]</f>
        <v>112</v>
      </c>
    </row>
    <row r="4" spans="1:20" x14ac:dyDescent="0.2">
      <c r="A4" s="1" t="s">
        <v>11</v>
      </c>
      <c r="B4" s="1" t="s">
        <v>14</v>
      </c>
      <c r="C4" s="1" t="s">
        <v>246</v>
      </c>
      <c r="D4" s="1" t="s">
        <v>245</v>
      </c>
      <c r="E4" s="14">
        <v>25</v>
      </c>
      <c r="F4" s="1" t="s">
        <v>9</v>
      </c>
      <c r="G4" s="1" t="s">
        <v>13</v>
      </c>
      <c r="H4" s="15">
        <v>25800</v>
      </c>
      <c r="I4" s="15">
        <v>0</v>
      </c>
      <c r="J4" s="15">
        <v>10700</v>
      </c>
      <c r="K4" s="15">
        <v>36500</v>
      </c>
      <c r="L4" s="15">
        <v>2800</v>
      </c>
      <c r="M4" s="15">
        <v>96600</v>
      </c>
      <c r="N4" s="3" t="str">
        <f>RIGHT(Table1[[#This Row],[description]], LEN(Table1[[#This Row],[description]])-5)</f>
        <v>02B_Bioretention Planter in ROW</v>
      </c>
      <c r="O4" s="3" t="str">
        <f>LEFT(Table1[[#This Row],[_drop_wqbe]],FIND("_",Table1[[#This Row],[_drop_wqbe]])-1)</f>
        <v>02B</v>
      </c>
      <c r="P4" s="3" t="str">
        <f>_xlfn.XLOOKUP(Table1[[#This Row],[code]],'BMP Crosswalk'!B:B,'BMP Crosswalk'!F:F,"--",0,1)</f>
        <v>Vegetated Box</v>
      </c>
      <c r="Q4" s="15">
        <f>Table1[[#This Row],[Total Direct Construction Cost (a)]]/Table1[[#This Row],[sizing_base_value]]</f>
        <v>1032</v>
      </c>
      <c r="R4" s="15">
        <f>Table1[[#This Row],[Total Indirect Non-Construction Cost ©]]/Table1[[#This Row],[sizing_base_value]]</f>
        <v>428</v>
      </c>
      <c r="S4" s="15">
        <f>Table1[[#This Row],[Total Project Cost (d) (a)+(b)+©]]/Table1[[#This Row],[sizing_base_value]]</f>
        <v>1460</v>
      </c>
      <c r="T4" s="15">
        <f>Table1[[#This Row],[O&amp;M Costs (Annual) (e)]]/Table1[[#This Row],[sizing_base_value]]</f>
        <v>112</v>
      </c>
    </row>
    <row r="5" spans="1:20" x14ac:dyDescent="0.2">
      <c r="A5" s="1" t="s">
        <v>11</v>
      </c>
      <c r="B5" s="1" t="s">
        <v>15</v>
      </c>
      <c r="C5" s="1" t="s">
        <v>246</v>
      </c>
      <c r="D5" s="1" t="s">
        <v>245</v>
      </c>
      <c r="E5" s="14">
        <v>25</v>
      </c>
      <c r="F5" s="1" t="s">
        <v>9</v>
      </c>
      <c r="G5" s="1" t="s">
        <v>13</v>
      </c>
      <c r="H5" s="15">
        <v>18700</v>
      </c>
      <c r="I5" s="15">
        <v>2011</v>
      </c>
      <c r="J5" s="15">
        <v>10100</v>
      </c>
      <c r="K5" s="15">
        <v>28800</v>
      </c>
      <c r="L5" s="15">
        <v>2800</v>
      </c>
      <c r="M5" s="15">
        <v>88900</v>
      </c>
      <c r="N5" s="3" t="str">
        <f>RIGHT(Table1[[#This Row],[description]], LEN(Table1[[#This Row],[description]])-5)</f>
        <v>02C_Bioretention Planter with Property Cost</v>
      </c>
      <c r="O5" s="3" t="str">
        <f>LEFT(Table1[[#This Row],[_drop_wqbe]],FIND("_",Table1[[#This Row],[_drop_wqbe]])-1)</f>
        <v>02C</v>
      </c>
      <c r="P5" s="3" t="str">
        <f>_xlfn.XLOOKUP(Table1[[#This Row],[code]],'BMP Crosswalk'!B:B,'BMP Crosswalk'!F:F,"--",0,1)</f>
        <v>Vegetated Box</v>
      </c>
      <c r="Q5" s="15">
        <f>Table1[[#This Row],[Total Direct Construction Cost (a)]]/Table1[[#This Row],[sizing_base_value]]</f>
        <v>748</v>
      </c>
      <c r="R5" s="15">
        <f>Table1[[#This Row],[Total Indirect Non-Construction Cost ©]]/Table1[[#This Row],[sizing_base_value]]</f>
        <v>404</v>
      </c>
      <c r="S5" s="15">
        <f>Table1[[#This Row],[Total Project Cost (d) (a)+(b)+©]]/Table1[[#This Row],[sizing_base_value]]</f>
        <v>1152</v>
      </c>
      <c r="T5" s="15">
        <f>Table1[[#This Row],[O&amp;M Costs (Annual) (e)]]/Table1[[#This Row],[sizing_base_value]]</f>
        <v>112</v>
      </c>
    </row>
    <row r="6" spans="1:20" x14ac:dyDescent="0.2">
      <c r="A6" s="1" t="s">
        <v>16</v>
      </c>
      <c r="B6" s="1" t="s">
        <v>17</v>
      </c>
      <c r="C6" s="1" t="s">
        <v>246</v>
      </c>
      <c r="D6" s="1" t="s">
        <v>245</v>
      </c>
      <c r="E6" s="14">
        <v>85</v>
      </c>
      <c r="F6" s="1" t="s">
        <v>18</v>
      </c>
      <c r="G6" s="1" t="s">
        <v>19</v>
      </c>
      <c r="H6" s="15">
        <v>35400</v>
      </c>
      <c r="I6" s="15">
        <v>0</v>
      </c>
      <c r="J6" s="15">
        <v>14700</v>
      </c>
      <c r="K6" s="15">
        <v>50100</v>
      </c>
      <c r="L6" s="15">
        <v>3100</v>
      </c>
      <c r="M6" s="15">
        <v>121500</v>
      </c>
      <c r="N6" s="3" t="str">
        <f>RIGHT(Table1[[#This Row],[description]], LEN(Table1[[#This Row],[description]])-5)</f>
        <v>03A_Bioretention Underdrain on Property</v>
      </c>
      <c r="O6" s="3" t="str">
        <f>LEFT(Table1[[#This Row],[_drop_wqbe]],FIND("_",Table1[[#This Row],[_drop_wqbe]])-1)</f>
        <v>03A</v>
      </c>
      <c r="P6" s="3" t="str">
        <f>_xlfn.XLOOKUP(Table1[[#This Row],[code]],'BMP Crosswalk'!B:B,'BMP Crosswalk'!F:F,"--",0,1)</f>
        <v>Bioretention</v>
      </c>
      <c r="Q6" s="15">
        <f>Table1[[#This Row],[Total Direct Construction Cost (a)]]/Table1[[#This Row],[sizing_base_value]]</f>
        <v>416.47058823529414</v>
      </c>
      <c r="R6" s="15">
        <f>Table1[[#This Row],[Total Indirect Non-Construction Cost ©]]/Table1[[#This Row],[sizing_base_value]]</f>
        <v>172.94117647058823</v>
      </c>
      <c r="S6" s="15">
        <f>Table1[[#This Row],[Total Project Cost (d) (a)+(b)+©]]/Table1[[#This Row],[sizing_base_value]]</f>
        <v>589.41176470588232</v>
      </c>
      <c r="T6" s="15">
        <f>Table1[[#This Row],[O&amp;M Costs (Annual) (e)]]/Table1[[#This Row],[sizing_base_value]]</f>
        <v>36.470588235294116</v>
      </c>
    </row>
    <row r="7" spans="1:20" x14ac:dyDescent="0.2">
      <c r="A7" s="1" t="s">
        <v>16</v>
      </c>
      <c r="B7" s="1" t="s">
        <v>20</v>
      </c>
      <c r="C7" s="1" t="s">
        <v>246</v>
      </c>
      <c r="D7" s="1" t="s">
        <v>245</v>
      </c>
      <c r="E7" s="14">
        <v>85</v>
      </c>
      <c r="F7" s="1" t="s">
        <v>18</v>
      </c>
      <c r="G7" s="1" t="s">
        <v>19</v>
      </c>
      <c r="H7" s="15">
        <v>35400</v>
      </c>
      <c r="I7" s="15">
        <v>19995</v>
      </c>
      <c r="J7" s="15">
        <v>37700</v>
      </c>
      <c r="K7" s="15">
        <v>73100</v>
      </c>
      <c r="L7" s="15">
        <v>3100</v>
      </c>
      <c r="M7" s="15">
        <v>144500</v>
      </c>
      <c r="N7" s="3" t="str">
        <f>RIGHT(Table1[[#This Row],[description]], LEN(Table1[[#This Row],[description]])-5)</f>
        <v>03Aa_Bioretention Underdrain with Property Cost</v>
      </c>
      <c r="O7" s="3" t="str">
        <f>LEFT(Table1[[#This Row],[_drop_wqbe]],FIND("_",Table1[[#This Row],[_drop_wqbe]])-1)</f>
        <v>03Aa</v>
      </c>
      <c r="P7" s="3" t="str">
        <f>_xlfn.XLOOKUP(Table1[[#This Row],[code]],'BMP Crosswalk'!B:B,'BMP Crosswalk'!F:F,"--",0,1)</f>
        <v>Bioretention</v>
      </c>
      <c r="Q7" s="15">
        <f>Table1[[#This Row],[Total Direct Construction Cost (a)]]/Table1[[#This Row],[sizing_base_value]]</f>
        <v>416.47058823529414</v>
      </c>
      <c r="R7" s="15">
        <f>Table1[[#This Row],[Total Indirect Non-Construction Cost ©]]/Table1[[#This Row],[sizing_base_value]]</f>
        <v>443.52941176470586</v>
      </c>
      <c r="S7" s="15">
        <f>Table1[[#This Row],[Total Project Cost (d) (a)+(b)+©]]/Table1[[#This Row],[sizing_base_value]]</f>
        <v>860</v>
      </c>
      <c r="T7" s="15">
        <f>Table1[[#This Row],[O&amp;M Costs (Annual) (e)]]/Table1[[#This Row],[sizing_base_value]]</f>
        <v>36.470588235294116</v>
      </c>
    </row>
    <row r="8" spans="1:20" x14ac:dyDescent="0.2">
      <c r="A8" s="1" t="s">
        <v>16</v>
      </c>
      <c r="B8" s="1" t="s">
        <v>21</v>
      </c>
      <c r="C8" s="1" t="s">
        <v>246</v>
      </c>
      <c r="D8" s="1" t="s">
        <v>245</v>
      </c>
      <c r="E8" s="14">
        <v>85</v>
      </c>
      <c r="F8" s="1" t="s">
        <v>18</v>
      </c>
      <c r="G8" s="1" t="s">
        <v>22</v>
      </c>
      <c r="H8" s="15">
        <v>32800</v>
      </c>
      <c r="I8" s="15">
        <v>0</v>
      </c>
      <c r="J8" s="15">
        <v>13700</v>
      </c>
      <c r="K8" s="15">
        <v>46500</v>
      </c>
      <c r="L8" s="15">
        <v>3100</v>
      </c>
      <c r="M8" s="15">
        <v>117900</v>
      </c>
      <c r="N8" s="3" t="str">
        <f>RIGHT(Table1[[#This Row],[description]], LEN(Table1[[#This Row],[description]])-5)</f>
        <v>03B_Bioretention No Underdrain on Property</v>
      </c>
      <c r="O8" s="3" t="str">
        <f>LEFT(Table1[[#This Row],[_drop_wqbe]],FIND("_",Table1[[#This Row],[_drop_wqbe]])-1)</f>
        <v>03B</v>
      </c>
      <c r="P8" s="3" t="str">
        <f>_xlfn.XLOOKUP(Table1[[#This Row],[code]],'BMP Crosswalk'!B:B,'BMP Crosswalk'!F:F,"--",0,1)</f>
        <v>Bioretention</v>
      </c>
      <c r="Q8" s="15">
        <f>Table1[[#This Row],[Total Direct Construction Cost (a)]]/Table1[[#This Row],[sizing_base_value]]</f>
        <v>385.88235294117646</v>
      </c>
      <c r="R8" s="15">
        <f>Table1[[#This Row],[Total Indirect Non-Construction Cost ©]]/Table1[[#This Row],[sizing_base_value]]</f>
        <v>161.1764705882353</v>
      </c>
      <c r="S8" s="15">
        <f>Table1[[#This Row],[Total Project Cost (d) (a)+(b)+©]]/Table1[[#This Row],[sizing_base_value]]</f>
        <v>547.05882352941171</v>
      </c>
      <c r="T8" s="15">
        <f>Table1[[#This Row],[O&amp;M Costs (Annual) (e)]]/Table1[[#This Row],[sizing_base_value]]</f>
        <v>36.470588235294116</v>
      </c>
    </row>
    <row r="9" spans="1:20" x14ac:dyDescent="0.2">
      <c r="A9" s="1" t="s">
        <v>16</v>
      </c>
      <c r="B9" s="1" t="s">
        <v>23</v>
      </c>
      <c r="C9" s="1" t="s">
        <v>246</v>
      </c>
      <c r="D9" s="1" t="s">
        <v>245</v>
      </c>
      <c r="E9" s="14">
        <v>85</v>
      </c>
      <c r="F9" s="1" t="s">
        <v>18</v>
      </c>
      <c r="G9" s="1" t="s">
        <v>22</v>
      </c>
      <c r="H9" s="15">
        <v>32800</v>
      </c>
      <c r="I9" s="15">
        <v>19995</v>
      </c>
      <c r="J9" s="15">
        <v>36600</v>
      </c>
      <c r="K9" s="15">
        <v>69400</v>
      </c>
      <c r="L9" s="15">
        <v>3100</v>
      </c>
      <c r="M9" s="15">
        <v>140800</v>
      </c>
      <c r="N9" s="3" t="str">
        <f>RIGHT(Table1[[#This Row],[description]], LEN(Table1[[#This Row],[description]])-5)</f>
        <v>03Bb_Bioretention No Underdrain with Property Cost</v>
      </c>
      <c r="O9" s="3" t="str">
        <f>LEFT(Table1[[#This Row],[_drop_wqbe]],FIND("_",Table1[[#This Row],[_drop_wqbe]])-1)</f>
        <v>03Bb</v>
      </c>
      <c r="P9" s="3" t="str">
        <f>_xlfn.XLOOKUP(Table1[[#This Row],[code]],'BMP Crosswalk'!B:B,'BMP Crosswalk'!F:F,"--",0,1)</f>
        <v>Bioretention</v>
      </c>
      <c r="Q9" s="15">
        <f>Table1[[#This Row],[Total Direct Construction Cost (a)]]/Table1[[#This Row],[sizing_base_value]]</f>
        <v>385.88235294117646</v>
      </c>
      <c r="R9" s="15">
        <f>Table1[[#This Row],[Total Indirect Non-Construction Cost ©]]/Table1[[#This Row],[sizing_base_value]]</f>
        <v>430.58823529411762</v>
      </c>
      <c r="S9" s="15">
        <f>Table1[[#This Row],[Total Project Cost (d) (a)+(b)+©]]/Table1[[#This Row],[sizing_base_value]]</f>
        <v>816.47058823529414</v>
      </c>
      <c r="T9" s="15">
        <f>Table1[[#This Row],[O&amp;M Costs (Annual) (e)]]/Table1[[#This Row],[sizing_base_value]]</f>
        <v>36.470588235294116</v>
      </c>
    </row>
    <row r="10" spans="1:20" x14ac:dyDescent="0.2">
      <c r="A10" s="1" t="s">
        <v>16</v>
      </c>
      <c r="B10" s="1" t="s">
        <v>24</v>
      </c>
      <c r="C10" s="1" t="s">
        <v>246</v>
      </c>
      <c r="D10" s="1" t="s">
        <v>245</v>
      </c>
      <c r="E10" s="14">
        <v>85</v>
      </c>
      <c r="F10" s="1" t="s">
        <v>18</v>
      </c>
      <c r="G10" s="1" t="s">
        <v>19</v>
      </c>
      <c r="H10" s="15">
        <v>63900</v>
      </c>
      <c r="I10" s="15">
        <v>0</v>
      </c>
      <c r="J10" s="15">
        <v>26400</v>
      </c>
      <c r="K10" s="15">
        <v>90300</v>
      </c>
      <c r="L10" s="15">
        <v>3100</v>
      </c>
      <c r="M10" s="15">
        <v>161700</v>
      </c>
      <c r="N10" s="3" t="str">
        <f>RIGHT(Table1[[#This Row],[description]], LEN(Table1[[#This Row],[description]])-5)</f>
        <v>03C_Bioretention Underdrain in ROW</v>
      </c>
      <c r="O10" s="3" t="str">
        <f>LEFT(Table1[[#This Row],[_drop_wqbe]],FIND("_",Table1[[#This Row],[_drop_wqbe]])-1)</f>
        <v>03C</v>
      </c>
      <c r="P10" s="3" t="str">
        <f>_xlfn.XLOOKUP(Table1[[#This Row],[code]],'BMP Crosswalk'!B:B,'BMP Crosswalk'!F:F,"--",0,1)</f>
        <v>Bioretention</v>
      </c>
      <c r="Q10" s="15">
        <f>Table1[[#This Row],[Total Direct Construction Cost (a)]]/Table1[[#This Row],[sizing_base_value]]</f>
        <v>751.76470588235293</v>
      </c>
      <c r="R10" s="15">
        <f>Table1[[#This Row],[Total Indirect Non-Construction Cost ©]]/Table1[[#This Row],[sizing_base_value]]</f>
        <v>310.58823529411762</v>
      </c>
      <c r="S10" s="15">
        <f>Table1[[#This Row],[Total Project Cost (d) (a)+(b)+©]]/Table1[[#This Row],[sizing_base_value]]</f>
        <v>1062.3529411764705</v>
      </c>
      <c r="T10" s="15">
        <f>Table1[[#This Row],[O&amp;M Costs (Annual) (e)]]/Table1[[#This Row],[sizing_base_value]]</f>
        <v>36.470588235294116</v>
      </c>
    </row>
    <row r="11" spans="1:20" x14ac:dyDescent="0.2">
      <c r="A11" s="1" t="s">
        <v>16</v>
      </c>
      <c r="B11" s="1" t="s">
        <v>25</v>
      </c>
      <c r="C11" s="1" t="s">
        <v>246</v>
      </c>
      <c r="D11" s="1" t="s">
        <v>245</v>
      </c>
      <c r="E11" s="14">
        <v>85</v>
      </c>
      <c r="F11" s="1" t="s">
        <v>18</v>
      </c>
      <c r="G11" s="1" t="s">
        <v>22</v>
      </c>
      <c r="H11" s="15">
        <v>63700</v>
      </c>
      <c r="I11" s="15">
        <v>0</v>
      </c>
      <c r="J11" s="15">
        <v>26300</v>
      </c>
      <c r="K11" s="15">
        <v>90000</v>
      </c>
      <c r="L11" s="15">
        <v>3100</v>
      </c>
      <c r="M11" s="15">
        <v>161400</v>
      </c>
      <c r="N11" s="3" t="str">
        <f>RIGHT(Table1[[#This Row],[description]], LEN(Table1[[#This Row],[description]])-5)</f>
        <v>03D_Bioretention No Underdrain in ROW</v>
      </c>
      <c r="O11" s="3" t="str">
        <f>LEFT(Table1[[#This Row],[_drop_wqbe]],FIND("_",Table1[[#This Row],[_drop_wqbe]])-1)</f>
        <v>03D</v>
      </c>
      <c r="P11" s="3" t="str">
        <f>_xlfn.XLOOKUP(Table1[[#This Row],[code]],'BMP Crosswalk'!B:B,'BMP Crosswalk'!F:F,"--",0,1)</f>
        <v>Bioretention</v>
      </c>
      <c r="Q11" s="15">
        <f>Table1[[#This Row],[Total Direct Construction Cost (a)]]/Table1[[#This Row],[sizing_base_value]]</f>
        <v>749.41176470588232</v>
      </c>
      <c r="R11" s="15">
        <f>Table1[[#This Row],[Total Indirect Non-Construction Cost ©]]/Table1[[#This Row],[sizing_base_value]]</f>
        <v>309.41176470588238</v>
      </c>
      <c r="S11" s="15">
        <f>Table1[[#This Row],[Total Project Cost (d) (a)+(b)+©]]/Table1[[#This Row],[sizing_base_value]]</f>
        <v>1058.8235294117646</v>
      </c>
      <c r="T11" s="15">
        <f>Table1[[#This Row],[O&amp;M Costs (Annual) (e)]]/Table1[[#This Row],[sizing_base_value]]</f>
        <v>36.470588235294116</v>
      </c>
    </row>
    <row r="12" spans="1:20" x14ac:dyDescent="0.2">
      <c r="A12" s="1" t="s">
        <v>26</v>
      </c>
      <c r="B12" s="1" t="s">
        <v>27</v>
      </c>
      <c r="C12" s="1" t="s">
        <v>246</v>
      </c>
      <c r="D12" s="1" t="s">
        <v>245</v>
      </c>
      <c r="E12" s="14">
        <v>200</v>
      </c>
      <c r="F12" s="1" t="s">
        <v>28</v>
      </c>
      <c r="G12" s="1" t="s">
        <v>29</v>
      </c>
      <c r="H12" s="15">
        <v>20500</v>
      </c>
      <c r="I12" s="15">
        <v>0</v>
      </c>
      <c r="J12" s="15">
        <v>8500</v>
      </c>
      <c r="K12" s="15">
        <v>29000</v>
      </c>
      <c r="L12" s="15">
        <v>2600</v>
      </c>
      <c r="M12" s="15">
        <v>85300</v>
      </c>
      <c r="N12" s="3" t="str">
        <f>RIGHT(Table1[[#This Row],[description]], LEN(Table1[[#This Row],[description]])-5)</f>
        <v>04A_Bioswale in ROW</v>
      </c>
      <c r="O12" s="3" t="str">
        <f>LEFT(Table1[[#This Row],[_drop_wqbe]],FIND("_",Table1[[#This Row],[_drop_wqbe]])-1)</f>
        <v>04A</v>
      </c>
      <c r="P12" s="3" t="str">
        <f>_xlfn.XLOOKUP(Table1[[#This Row],[code]],'BMP Crosswalk'!B:B,'BMP Crosswalk'!F:F,"--",0,1)</f>
        <v>Swale</v>
      </c>
      <c r="Q12" s="15">
        <f>Table1[[#This Row],[Total Direct Construction Cost (a)]]/Table1[[#This Row],[sizing_base_value]]</f>
        <v>102.5</v>
      </c>
      <c r="R12" s="15">
        <f>Table1[[#This Row],[Total Indirect Non-Construction Cost ©]]/Table1[[#This Row],[sizing_base_value]]</f>
        <v>42.5</v>
      </c>
      <c r="S12" s="15">
        <f>Table1[[#This Row],[Total Project Cost (d) (a)+(b)+©]]/Table1[[#This Row],[sizing_base_value]]</f>
        <v>145</v>
      </c>
      <c r="T12" s="15">
        <f>Table1[[#This Row],[O&amp;M Costs (Annual) (e)]]/Table1[[#This Row],[sizing_base_value]]</f>
        <v>13</v>
      </c>
    </row>
    <row r="13" spans="1:20" x14ac:dyDescent="0.2">
      <c r="A13" s="1" t="s">
        <v>26</v>
      </c>
      <c r="B13" s="1" t="s">
        <v>30</v>
      </c>
      <c r="C13" s="1" t="s">
        <v>246</v>
      </c>
      <c r="D13" s="1" t="s">
        <v>245</v>
      </c>
      <c r="E13" s="14">
        <v>200</v>
      </c>
      <c r="F13" s="1" t="s">
        <v>28</v>
      </c>
      <c r="G13" s="1" t="s">
        <v>29</v>
      </c>
      <c r="H13" s="15">
        <v>11400</v>
      </c>
      <c r="I13" s="15">
        <v>0</v>
      </c>
      <c r="J13" s="15">
        <v>4800</v>
      </c>
      <c r="K13" s="15">
        <v>16200</v>
      </c>
      <c r="L13" s="15">
        <v>2600</v>
      </c>
      <c r="M13" s="15">
        <v>72500</v>
      </c>
      <c r="N13" s="3" t="str">
        <f>RIGHT(Table1[[#This Row],[description]], LEN(Table1[[#This Row],[description]])-5)</f>
        <v>04B_Bioswale on Public Property</v>
      </c>
      <c r="O13" s="3" t="str">
        <f>LEFT(Table1[[#This Row],[_drop_wqbe]],FIND("_",Table1[[#This Row],[_drop_wqbe]])-1)</f>
        <v>04B</v>
      </c>
      <c r="P13" s="3" t="str">
        <f>_xlfn.XLOOKUP(Table1[[#This Row],[code]],'BMP Crosswalk'!B:B,'BMP Crosswalk'!F:F,"--",0,1)</f>
        <v>Swale</v>
      </c>
      <c r="Q13" s="15">
        <f>Table1[[#This Row],[Total Direct Construction Cost (a)]]/Table1[[#This Row],[sizing_base_value]]</f>
        <v>57</v>
      </c>
      <c r="R13" s="15">
        <f>Table1[[#This Row],[Total Indirect Non-Construction Cost ©]]/Table1[[#This Row],[sizing_base_value]]</f>
        <v>24</v>
      </c>
      <c r="S13" s="15">
        <f>Table1[[#This Row],[Total Project Cost (d) (a)+(b)+©]]/Table1[[#This Row],[sizing_base_value]]</f>
        <v>81</v>
      </c>
      <c r="T13" s="15">
        <f>Table1[[#This Row],[O&amp;M Costs (Annual) (e)]]/Table1[[#This Row],[sizing_base_value]]</f>
        <v>13</v>
      </c>
    </row>
    <row r="14" spans="1:20" x14ac:dyDescent="0.2">
      <c r="A14" s="1" t="s">
        <v>26</v>
      </c>
      <c r="B14" s="1" t="s">
        <v>31</v>
      </c>
      <c r="C14" s="1" t="s">
        <v>246</v>
      </c>
      <c r="D14" s="1" t="s">
        <v>245</v>
      </c>
      <c r="E14" s="14">
        <v>200</v>
      </c>
      <c r="F14" s="1" t="s">
        <v>28</v>
      </c>
      <c r="G14" s="1" t="s">
        <v>29</v>
      </c>
      <c r="H14" s="15">
        <v>11400</v>
      </c>
      <c r="I14" s="15">
        <v>59116</v>
      </c>
      <c r="J14" s="15">
        <v>72700</v>
      </c>
      <c r="K14" s="15">
        <v>84100</v>
      </c>
      <c r="L14" s="15">
        <v>2600</v>
      </c>
      <c r="M14" s="15">
        <v>140400</v>
      </c>
      <c r="N14" s="3" t="str">
        <f>RIGHT(Table1[[#This Row],[description]], LEN(Table1[[#This Row],[description]])-5)</f>
        <v>04C_Bioswale with Property Cost</v>
      </c>
      <c r="O14" s="3" t="str">
        <f>LEFT(Table1[[#This Row],[_drop_wqbe]],FIND("_",Table1[[#This Row],[_drop_wqbe]])-1)</f>
        <v>04C</v>
      </c>
      <c r="P14" s="3" t="str">
        <f>_xlfn.XLOOKUP(Table1[[#This Row],[code]],'BMP Crosswalk'!B:B,'BMP Crosswalk'!F:F,"--",0,1)</f>
        <v>Swale</v>
      </c>
      <c r="Q14" s="15">
        <f>Table1[[#This Row],[Total Direct Construction Cost (a)]]/Table1[[#This Row],[sizing_base_value]]</f>
        <v>57</v>
      </c>
      <c r="R14" s="15">
        <f>Table1[[#This Row],[Total Indirect Non-Construction Cost ©]]/Table1[[#This Row],[sizing_base_value]]</f>
        <v>363.5</v>
      </c>
      <c r="S14" s="15">
        <f>Table1[[#This Row],[Total Project Cost (d) (a)+(b)+©]]/Table1[[#This Row],[sizing_base_value]]</f>
        <v>420.5</v>
      </c>
      <c r="T14" s="15">
        <f>Table1[[#This Row],[O&amp;M Costs (Annual) (e)]]/Table1[[#This Row],[sizing_base_value]]</f>
        <v>13</v>
      </c>
    </row>
    <row r="15" spans="1:20" x14ac:dyDescent="0.2">
      <c r="A15" s="1" t="s">
        <v>32</v>
      </c>
      <c r="B15" s="1" t="s">
        <v>33</v>
      </c>
      <c r="C15" s="1" t="s">
        <v>246</v>
      </c>
      <c r="D15" s="1" t="s">
        <v>245</v>
      </c>
      <c r="E15" s="14">
        <v>200</v>
      </c>
      <c r="F15" s="1" t="s">
        <v>28</v>
      </c>
      <c r="G15" s="1" t="s">
        <v>34</v>
      </c>
      <c r="H15" s="15">
        <v>25300</v>
      </c>
      <c r="I15" s="15">
        <v>0</v>
      </c>
      <c r="J15" s="15">
        <v>10500</v>
      </c>
      <c r="K15" s="15">
        <v>35800</v>
      </c>
      <c r="L15" s="15">
        <v>2400</v>
      </c>
      <c r="M15" s="15">
        <v>90800</v>
      </c>
      <c r="N15" s="3" t="str">
        <f>RIGHT(Table1[[#This Row],[description]], LEN(Table1[[#This Row],[description]])-5)</f>
        <v>05A_Media Filter Drain Underdrain</v>
      </c>
      <c r="O15" s="3" t="str">
        <f>LEFT(Table1[[#This Row],[_drop_wqbe]],FIND("_",Table1[[#This Row],[_drop_wqbe]])-1)</f>
        <v>05A</v>
      </c>
      <c r="P15" s="3" t="str">
        <f>_xlfn.XLOOKUP(Table1[[#This Row],[code]],'BMP Crosswalk'!B:B,'BMP Crosswalk'!F:F,"--",0,1)</f>
        <v>Media Filter</v>
      </c>
      <c r="Q15" s="15">
        <f>Table1[[#This Row],[Total Direct Construction Cost (a)]]/Table1[[#This Row],[sizing_base_value]]</f>
        <v>126.5</v>
      </c>
      <c r="R15" s="15">
        <f>Table1[[#This Row],[Total Indirect Non-Construction Cost ©]]/Table1[[#This Row],[sizing_base_value]]</f>
        <v>52.5</v>
      </c>
      <c r="S15" s="15">
        <f>Table1[[#This Row],[Total Project Cost (d) (a)+(b)+©]]/Table1[[#This Row],[sizing_base_value]]</f>
        <v>179</v>
      </c>
      <c r="T15" s="15">
        <f>Table1[[#This Row],[O&amp;M Costs (Annual) (e)]]/Table1[[#This Row],[sizing_base_value]]</f>
        <v>12</v>
      </c>
    </row>
    <row r="16" spans="1:20" x14ac:dyDescent="0.2">
      <c r="A16" s="1" t="s">
        <v>32</v>
      </c>
      <c r="B16" s="1" t="s">
        <v>35</v>
      </c>
      <c r="C16" s="1" t="s">
        <v>246</v>
      </c>
      <c r="D16" s="1" t="s">
        <v>245</v>
      </c>
      <c r="E16" s="14">
        <v>200</v>
      </c>
      <c r="F16" s="1" t="s">
        <v>28</v>
      </c>
      <c r="G16" s="1" t="s">
        <v>34</v>
      </c>
      <c r="H16" s="15">
        <v>23100</v>
      </c>
      <c r="I16" s="15">
        <v>0</v>
      </c>
      <c r="J16" s="15">
        <v>9500</v>
      </c>
      <c r="K16" s="15">
        <v>32600</v>
      </c>
      <c r="L16" s="15">
        <v>2400</v>
      </c>
      <c r="M16" s="15">
        <v>87600</v>
      </c>
      <c r="N16" s="3" t="str">
        <f>RIGHT(Table1[[#This Row],[description]], LEN(Table1[[#This Row],[description]])-5)</f>
        <v>05B_Media Filter Drain No Underdrain</v>
      </c>
      <c r="O16" s="3" t="str">
        <f>LEFT(Table1[[#This Row],[_drop_wqbe]],FIND("_",Table1[[#This Row],[_drop_wqbe]])-1)</f>
        <v>05B</v>
      </c>
      <c r="P16" s="3" t="str">
        <f>_xlfn.XLOOKUP(Table1[[#This Row],[code]],'BMP Crosswalk'!B:B,'BMP Crosswalk'!F:F,"--",0,1)</f>
        <v>Media Filter</v>
      </c>
      <c r="Q16" s="15">
        <f>Table1[[#This Row],[Total Direct Construction Cost (a)]]/Table1[[#This Row],[sizing_base_value]]</f>
        <v>115.5</v>
      </c>
      <c r="R16" s="15">
        <f>Table1[[#This Row],[Total Indirect Non-Construction Cost ©]]/Table1[[#This Row],[sizing_base_value]]</f>
        <v>47.5</v>
      </c>
      <c r="S16" s="15">
        <f>Table1[[#This Row],[Total Project Cost (d) (a)+(b)+©]]/Table1[[#This Row],[sizing_base_value]]</f>
        <v>163</v>
      </c>
      <c r="T16" s="15">
        <f>Table1[[#This Row],[O&amp;M Costs (Annual) (e)]]/Table1[[#This Row],[sizing_base_value]]</f>
        <v>12</v>
      </c>
    </row>
    <row r="17" spans="1:20" x14ac:dyDescent="0.2">
      <c r="A17" s="1" t="s">
        <v>36</v>
      </c>
      <c r="B17" s="1" t="s">
        <v>37</v>
      </c>
      <c r="C17" s="1" t="s">
        <v>246</v>
      </c>
      <c r="D17" s="1" t="s">
        <v>245</v>
      </c>
      <c r="E17" s="14">
        <v>13</v>
      </c>
      <c r="F17" s="1" t="s">
        <v>38</v>
      </c>
      <c r="G17" s="1" t="s">
        <v>39</v>
      </c>
      <c r="H17" s="15">
        <v>14000</v>
      </c>
      <c r="I17" s="15">
        <v>0</v>
      </c>
      <c r="J17" s="15">
        <v>5800</v>
      </c>
      <c r="K17" s="15">
        <v>19800</v>
      </c>
      <c r="L17" s="15">
        <v>1000</v>
      </c>
      <c r="M17" s="15">
        <v>41400</v>
      </c>
      <c r="N17" s="3" t="str">
        <f>RIGHT(Table1[[#This Row],[description]], LEN(Table1[[#This Row],[description]])-5)</f>
        <v>06A_Drywell on Property</v>
      </c>
      <c r="O17" s="3" t="str">
        <f>LEFT(Table1[[#This Row],[_drop_wqbe]],FIND("_",Table1[[#This Row],[_drop_wqbe]])-1)</f>
        <v>06A</v>
      </c>
      <c r="P17" s="3" t="str">
        <f>_xlfn.XLOOKUP(Table1[[#This Row],[code]],'BMP Crosswalk'!B:B,'BMP Crosswalk'!F:F,"--",0,1)</f>
        <v>--</v>
      </c>
      <c r="Q17" s="15">
        <f>Table1[[#This Row],[Total Direct Construction Cost (a)]]/Table1[[#This Row],[sizing_base_value]]</f>
        <v>1076.9230769230769</v>
      </c>
      <c r="R17" s="15">
        <f>Table1[[#This Row],[Total Indirect Non-Construction Cost ©]]/Table1[[#This Row],[sizing_base_value]]</f>
        <v>446.15384615384613</v>
      </c>
      <c r="S17" s="15">
        <f>Table1[[#This Row],[Total Project Cost (d) (a)+(b)+©]]/Table1[[#This Row],[sizing_base_value]]</f>
        <v>1523.0769230769231</v>
      </c>
      <c r="T17" s="15">
        <f>Table1[[#This Row],[O&amp;M Costs (Annual) (e)]]/Table1[[#This Row],[sizing_base_value]]</f>
        <v>76.92307692307692</v>
      </c>
    </row>
    <row r="18" spans="1:20" x14ac:dyDescent="0.2">
      <c r="A18" s="1" t="s">
        <v>36</v>
      </c>
      <c r="B18" s="1" t="s">
        <v>40</v>
      </c>
      <c r="C18" s="1" t="s">
        <v>246</v>
      </c>
      <c r="D18" s="1" t="s">
        <v>245</v>
      </c>
      <c r="E18" s="14">
        <v>13</v>
      </c>
      <c r="F18" s="1" t="s">
        <v>41</v>
      </c>
      <c r="G18" s="1" t="s">
        <v>42</v>
      </c>
      <c r="H18" s="15">
        <v>30200</v>
      </c>
      <c r="I18" s="15">
        <v>0</v>
      </c>
      <c r="J18" s="15">
        <v>12600</v>
      </c>
      <c r="K18" s="15">
        <v>42800</v>
      </c>
      <c r="L18" s="15">
        <v>1500</v>
      </c>
      <c r="M18" s="15">
        <v>76000</v>
      </c>
      <c r="N18" s="3" t="str">
        <f>RIGHT(Table1[[#This Row],[description]], LEN(Table1[[#This Row],[description]])-5)</f>
        <v>06B_Drywell on Outwash with Bioretention Planter on Property</v>
      </c>
      <c r="O18" s="3" t="str">
        <f>LEFT(Table1[[#This Row],[_drop_wqbe]],FIND("_",Table1[[#This Row],[_drop_wqbe]])-1)</f>
        <v>06B</v>
      </c>
      <c r="P18" s="3" t="str">
        <f>_xlfn.XLOOKUP(Table1[[#This Row],[code]],'BMP Crosswalk'!B:B,'BMP Crosswalk'!F:F,"--",0,1)</f>
        <v>None</v>
      </c>
      <c r="Q18" s="15">
        <f>Table1[[#This Row],[Total Direct Construction Cost (a)]]/Table1[[#This Row],[sizing_base_value]]</f>
        <v>2323.0769230769229</v>
      </c>
      <c r="R18" s="15">
        <f>Table1[[#This Row],[Total Indirect Non-Construction Cost ©]]/Table1[[#This Row],[sizing_base_value]]</f>
        <v>969.23076923076928</v>
      </c>
      <c r="S18" s="15">
        <f>Table1[[#This Row],[Total Project Cost (d) (a)+(b)+©]]/Table1[[#This Row],[sizing_base_value]]</f>
        <v>3292.3076923076924</v>
      </c>
      <c r="T18" s="15">
        <f>Table1[[#This Row],[O&amp;M Costs (Annual) (e)]]/Table1[[#This Row],[sizing_base_value]]</f>
        <v>115.38461538461539</v>
      </c>
    </row>
    <row r="19" spans="1:20" ht="15" x14ac:dyDescent="0.2">
      <c r="A19" s="1" t="s">
        <v>43</v>
      </c>
      <c r="B19" s="1" t="s">
        <v>44</v>
      </c>
      <c r="C19" s="1" t="s">
        <v>246</v>
      </c>
      <c r="D19" s="1" t="s">
        <v>245</v>
      </c>
      <c r="E19" s="14">
        <v>42</v>
      </c>
      <c r="F19" s="1" t="s">
        <v>45</v>
      </c>
      <c r="G19" s="1" t="s">
        <v>46</v>
      </c>
      <c r="H19" s="15">
        <v>40400</v>
      </c>
      <c r="I19" s="15">
        <v>0</v>
      </c>
      <c r="J19" s="15">
        <v>16800</v>
      </c>
      <c r="K19" s="15">
        <v>57200</v>
      </c>
      <c r="L19" s="15">
        <v>900</v>
      </c>
      <c r="M19" s="15">
        <v>75900</v>
      </c>
      <c r="N19" s="3" t="str">
        <f>RIGHT(Table1[[#This Row],[description]], LEN(Table1[[#This Row],[description]])-5)</f>
        <v>07A_Deep UIC Well on Property</v>
      </c>
      <c r="O19" s="3" t="str">
        <f>LEFT(Table1[[#This Row],[_drop_wqbe]],FIND("_",Table1[[#This Row],[_drop_wqbe]])-1)</f>
        <v>07A</v>
      </c>
      <c r="P19" s="3" t="str">
        <f>_xlfn.XLOOKUP(Table1[[#This Row],[code]],'BMP Crosswalk'!B:B,'BMP Crosswalk'!F:F,"--",0,1)</f>
        <v>None</v>
      </c>
      <c r="Q19" s="15">
        <f>Table1[[#This Row],[Total Direct Construction Cost (a)]]/Table1[[#This Row],[sizing_base_value]]</f>
        <v>961.90476190476193</v>
      </c>
      <c r="R19" s="15">
        <f>Table1[[#This Row],[Total Indirect Non-Construction Cost ©]]/Table1[[#This Row],[sizing_base_value]]</f>
        <v>400</v>
      </c>
      <c r="S19" s="15">
        <f>Table1[[#This Row],[Total Project Cost (d) (a)+(b)+©]]/Table1[[#This Row],[sizing_base_value]]</f>
        <v>1361.9047619047619</v>
      </c>
      <c r="T19" s="15">
        <f>Table1[[#This Row],[O&amp;M Costs (Annual) (e)]]/Table1[[#This Row],[sizing_base_value]]</f>
        <v>21.428571428571427</v>
      </c>
    </row>
    <row r="20" spans="1:20" ht="15" x14ac:dyDescent="0.2">
      <c r="A20" s="1" t="s">
        <v>43</v>
      </c>
      <c r="B20" s="1" t="s">
        <v>47</v>
      </c>
      <c r="C20" s="1" t="s">
        <v>246</v>
      </c>
      <c r="D20" s="1" t="s">
        <v>245</v>
      </c>
      <c r="E20" s="14">
        <v>42</v>
      </c>
      <c r="F20" s="1" t="s">
        <v>45</v>
      </c>
      <c r="G20" s="1" t="s">
        <v>46</v>
      </c>
      <c r="H20" s="15">
        <v>58000</v>
      </c>
      <c r="I20" s="15">
        <v>0</v>
      </c>
      <c r="J20" s="15">
        <v>23900</v>
      </c>
      <c r="K20" s="15">
        <v>81900</v>
      </c>
      <c r="L20" s="15">
        <v>900</v>
      </c>
      <c r="M20" s="15">
        <v>100600</v>
      </c>
      <c r="N20" s="3" t="str">
        <f>RIGHT(Table1[[#This Row],[description]], LEN(Table1[[#This Row],[description]])-5)</f>
        <v>07B_Deep UIC Well in ROW</v>
      </c>
      <c r="O20" s="3" t="str">
        <f>LEFT(Table1[[#This Row],[_drop_wqbe]],FIND("_",Table1[[#This Row],[_drop_wqbe]])-1)</f>
        <v>07B</v>
      </c>
      <c r="P20" s="3" t="str">
        <f>_xlfn.XLOOKUP(Table1[[#This Row],[code]],'BMP Crosswalk'!B:B,'BMP Crosswalk'!F:F,"--",0,1)</f>
        <v>None</v>
      </c>
      <c r="Q20" s="15">
        <f>Table1[[#This Row],[Total Direct Construction Cost (a)]]/Table1[[#This Row],[sizing_base_value]]</f>
        <v>1380.952380952381</v>
      </c>
      <c r="R20" s="15">
        <f>Table1[[#This Row],[Total Indirect Non-Construction Cost ©]]/Table1[[#This Row],[sizing_base_value]]</f>
        <v>569.04761904761904</v>
      </c>
      <c r="S20" s="15">
        <f>Table1[[#This Row],[Total Project Cost (d) (a)+(b)+©]]/Table1[[#This Row],[sizing_base_value]]</f>
        <v>1950</v>
      </c>
      <c r="T20" s="15">
        <f>Table1[[#This Row],[O&amp;M Costs (Annual) (e)]]/Table1[[#This Row],[sizing_base_value]]</f>
        <v>21.428571428571427</v>
      </c>
    </row>
    <row r="21" spans="1:20" ht="15" x14ac:dyDescent="0.2">
      <c r="A21" s="1" t="s">
        <v>43</v>
      </c>
      <c r="B21" s="1" t="s">
        <v>48</v>
      </c>
      <c r="C21" s="1" t="s">
        <v>246</v>
      </c>
      <c r="D21" s="1" t="s">
        <v>245</v>
      </c>
      <c r="E21" s="14">
        <v>42</v>
      </c>
      <c r="F21" s="1" t="s">
        <v>45</v>
      </c>
      <c r="G21" s="1" t="s">
        <v>46</v>
      </c>
      <c r="H21" s="15">
        <v>40400</v>
      </c>
      <c r="I21" s="15">
        <v>2011</v>
      </c>
      <c r="J21" s="15">
        <v>19100</v>
      </c>
      <c r="K21" s="15">
        <v>59500</v>
      </c>
      <c r="L21" s="15">
        <v>900</v>
      </c>
      <c r="M21" s="15">
        <v>78200</v>
      </c>
      <c r="N21" s="3" t="str">
        <f>RIGHT(Table1[[#This Row],[description]], LEN(Table1[[#This Row],[description]])-5)</f>
        <v>07C_Deep UIC Well with Property Cost</v>
      </c>
      <c r="O21" s="3" t="str">
        <f>LEFT(Table1[[#This Row],[_drop_wqbe]],FIND("_",Table1[[#This Row],[_drop_wqbe]])-1)</f>
        <v>07C</v>
      </c>
      <c r="P21" s="3" t="str">
        <f>_xlfn.XLOOKUP(Table1[[#This Row],[code]],'BMP Crosswalk'!B:B,'BMP Crosswalk'!F:F,"--",0,1)</f>
        <v>None</v>
      </c>
      <c r="Q21" s="15">
        <f>Table1[[#This Row],[Total Direct Construction Cost (a)]]/Table1[[#This Row],[sizing_base_value]]</f>
        <v>961.90476190476193</v>
      </c>
      <c r="R21" s="15">
        <f>Table1[[#This Row],[Total Indirect Non-Construction Cost ©]]/Table1[[#This Row],[sizing_base_value]]</f>
        <v>454.76190476190476</v>
      </c>
      <c r="S21" s="15">
        <f>Table1[[#This Row],[Total Project Cost (d) (a)+(b)+©]]/Table1[[#This Row],[sizing_base_value]]</f>
        <v>1416.6666666666667</v>
      </c>
      <c r="T21" s="15">
        <f>Table1[[#This Row],[O&amp;M Costs (Annual) (e)]]/Table1[[#This Row],[sizing_base_value]]</f>
        <v>21.428571428571427</v>
      </c>
    </row>
    <row r="22" spans="1:20" x14ac:dyDescent="0.2">
      <c r="A22" s="1" t="s">
        <v>43</v>
      </c>
      <c r="B22" s="1" t="s">
        <v>49</v>
      </c>
      <c r="C22" s="1" t="s">
        <v>246</v>
      </c>
      <c r="D22" s="1" t="s">
        <v>245</v>
      </c>
      <c r="E22" s="14">
        <v>42</v>
      </c>
      <c r="F22" s="1" t="s">
        <v>50</v>
      </c>
      <c r="G22" s="1" t="s">
        <v>51</v>
      </c>
      <c r="H22" s="15">
        <v>158700</v>
      </c>
      <c r="I22" s="15">
        <v>0</v>
      </c>
      <c r="J22" s="15">
        <v>65400</v>
      </c>
      <c r="K22" s="15">
        <v>224100</v>
      </c>
      <c r="L22" s="15">
        <v>2400</v>
      </c>
      <c r="M22" s="15">
        <v>274000</v>
      </c>
      <c r="N22" s="3" t="str">
        <f>RIGHT(Table1[[#This Row],[description]], LEN(Table1[[#This Row],[description]])-5)</f>
        <v>07D_Deep UIC Well with Filter in ROW</v>
      </c>
      <c r="O22" s="3" t="str">
        <f>LEFT(Table1[[#This Row],[_drop_wqbe]],FIND("_",Table1[[#This Row],[_drop_wqbe]])-1)</f>
        <v>07D</v>
      </c>
      <c r="P22" s="3" t="str">
        <f>_xlfn.XLOOKUP(Table1[[#This Row],[code]],'BMP Crosswalk'!B:B,'BMP Crosswalk'!F:F,"--",0,1)</f>
        <v>None</v>
      </c>
      <c r="Q22" s="15">
        <f>Table1[[#This Row],[Total Direct Construction Cost (a)]]/Table1[[#This Row],[sizing_base_value]]</f>
        <v>3778.5714285714284</v>
      </c>
      <c r="R22" s="15">
        <f>Table1[[#This Row],[Total Indirect Non-Construction Cost ©]]/Table1[[#This Row],[sizing_base_value]]</f>
        <v>1557.1428571428571</v>
      </c>
      <c r="S22" s="15">
        <f>Table1[[#This Row],[Total Project Cost (d) (a)+(b)+©]]/Table1[[#This Row],[sizing_base_value]]</f>
        <v>5335.7142857142853</v>
      </c>
      <c r="T22" s="15">
        <f>Table1[[#This Row],[O&amp;M Costs (Annual) (e)]]/Table1[[#This Row],[sizing_base_value]]</f>
        <v>57.142857142857146</v>
      </c>
    </row>
    <row r="23" spans="1:20" x14ac:dyDescent="0.2">
      <c r="A23" s="1" t="s">
        <v>43</v>
      </c>
      <c r="B23" s="1" t="s">
        <v>52</v>
      </c>
      <c r="C23" s="1" t="s">
        <v>246</v>
      </c>
      <c r="D23" s="1" t="s">
        <v>245</v>
      </c>
      <c r="E23" s="14">
        <v>579</v>
      </c>
      <c r="F23" s="1" t="s">
        <v>53</v>
      </c>
      <c r="G23" s="1" t="s">
        <v>54</v>
      </c>
      <c r="H23" s="15">
        <v>946600</v>
      </c>
      <c r="I23" s="15">
        <v>0</v>
      </c>
      <c r="J23" s="15">
        <v>390200</v>
      </c>
      <c r="K23" s="15">
        <v>1336800</v>
      </c>
      <c r="L23" s="15">
        <v>5900</v>
      </c>
      <c r="M23" s="15">
        <v>1466700</v>
      </c>
      <c r="N23" s="3" t="str">
        <f>RIGHT(Table1[[#This Row],[description]], LEN(Table1[[#This Row],[description]])-5)</f>
        <v>07E_Deep UIC Well with Bioretention Planter in ROW</v>
      </c>
      <c r="O23" s="3" t="str">
        <f>LEFT(Table1[[#This Row],[_drop_wqbe]],FIND("_",Table1[[#This Row],[_drop_wqbe]])-1)</f>
        <v>07E</v>
      </c>
      <c r="P23" s="3" t="str">
        <f>_xlfn.XLOOKUP(Table1[[#This Row],[code]],'BMP Crosswalk'!B:B,'BMP Crosswalk'!F:F,"--",0,1)</f>
        <v>None</v>
      </c>
      <c r="Q23" s="15">
        <f>Table1[[#This Row],[Total Direct Construction Cost (a)]]/Table1[[#This Row],[sizing_base_value]]</f>
        <v>1634.8877374784111</v>
      </c>
      <c r="R23" s="15">
        <f>Table1[[#This Row],[Total Indirect Non-Construction Cost ©]]/Table1[[#This Row],[sizing_base_value]]</f>
        <v>673.92055267702938</v>
      </c>
      <c r="S23" s="15">
        <f>Table1[[#This Row],[Total Project Cost (d) (a)+(b)+©]]/Table1[[#This Row],[sizing_base_value]]</f>
        <v>2308.8082901554403</v>
      </c>
      <c r="T23" s="15">
        <f>Table1[[#This Row],[O&amp;M Costs (Annual) (e)]]/Table1[[#This Row],[sizing_base_value]]</f>
        <v>10.189982728842832</v>
      </c>
    </row>
    <row r="24" spans="1:20" x14ac:dyDescent="0.2">
      <c r="A24" s="1" t="s">
        <v>43</v>
      </c>
      <c r="B24" s="1" t="s">
        <v>55</v>
      </c>
      <c r="C24" s="1" t="s">
        <v>246</v>
      </c>
      <c r="D24" s="1" t="s">
        <v>245</v>
      </c>
      <c r="E24" s="14">
        <v>579</v>
      </c>
      <c r="F24" s="1" t="s">
        <v>53</v>
      </c>
      <c r="G24" s="1" t="s">
        <v>54</v>
      </c>
      <c r="H24" s="15">
        <v>811500</v>
      </c>
      <c r="I24" s="15">
        <v>0</v>
      </c>
      <c r="J24" s="15">
        <v>337600</v>
      </c>
      <c r="K24" s="15">
        <v>1149100</v>
      </c>
      <c r="L24" s="15">
        <v>5900</v>
      </c>
      <c r="M24" s="15">
        <v>1279600</v>
      </c>
      <c r="N24" s="3" t="str">
        <f>RIGHT(Table1[[#This Row],[description]], LEN(Table1[[#This Row],[description]])-5)</f>
        <v>07F_Deep UIC Well with Bioretention Planter on Property</v>
      </c>
      <c r="O24" s="3" t="str">
        <f>LEFT(Table1[[#This Row],[_drop_wqbe]],FIND("_",Table1[[#This Row],[_drop_wqbe]])-1)</f>
        <v>07F</v>
      </c>
      <c r="P24" s="3" t="str">
        <f>_xlfn.XLOOKUP(Table1[[#This Row],[code]],'BMP Crosswalk'!B:B,'BMP Crosswalk'!F:F,"--",0,1)</f>
        <v>None</v>
      </c>
      <c r="Q24" s="15">
        <f>Table1[[#This Row],[Total Direct Construction Cost (a)]]/Table1[[#This Row],[sizing_base_value]]</f>
        <v>1401.5544041450778</v>
      </c>
      <c r="R24" s="15">
        <f>Table1[[#This Row],[Total Indirect Non-Construction Cost ©]]/Table1[[#This Row],[sizing_base_value]]</f>
        <v>583.07426597582037</v>
      </c>
      <c r="S24" s="15">
        <f>Table1[[#This Row],[Total Project Cost (d) (a)+(b)+©]]/Table1[[#This Row],[sizing_base_value]]</f>
        <v>1984.6286701208981</v>
      </c>
      <c r="T24" s="15">
        <f>Table1[[#This Row],[O&amp;M Costs (Annual) (e)]]/Table1[[#This Row],[sizing_base_value]]</f>
        <v>10.189982728842832</v>
      </c>
    </row>
    <row r="25" spans="1:20" x14ac:dyDescent="0.2">
      <c r="A25" s="1" t="s">
        <v>43</v>
      </c>
      <c r="B25" s="1" t="s">
        <v>56</v>
      </c>
      <c r="C25" s="1" t="s">
        <v>246</v>
      </c>
      <c r="D25" s="1" t="s">
        <v>245</v>
      </c>
      <c r="E25" s="14">
        <v>42</v>
      </c>
      <c r="F25" s="1" t="s">
        <v>50</v>
      </c>
      <c r="G25" s="1" t="s">
        <v>51</v>
      </c>
      <c r="H25" s="15">
        <v>141300</v>
      </c>
      <c r="I25" s="15">
        <v>0</v>
      </c>
      <c r="J25" s="15">
        <v>58800</v>
      </c>
      <c r="K25" s="15">
        <v>200100</v>
      </c>
      <c r="L25" s="15">
        <v>2400</v>
      </c>
      <c r="M25" s="15">
        <v>250000</v>
      </c>
      <c r="N25" s="3" t="str">
        <f>RIGHT(Table1[[#This Row],[description]], LEN(Table1[[#This Row],[description]])-5)</f>
        <v>07G_Deep UIC Well with High Rate Underground Filter on Property</v>
      </c>
      <c r="O25" s="3" t="str">
        <f>LEFT(Table1[[#This Row],[_drop_wqbe]],FIND("_",Table1[[#This Row],[_drop_wqbe]])-1)</f>
        <v>07G</v>
      </c>
      <c r="P25" s="3" t="str">
        <f>_xlfn.XLOOKUP(Table1[[#This Row],[code]],'BMP Crosswalk'!B:B,'BMP Crosswalk'!F:F,"--",0,1)</f>
        <v>--</v>
      </c>
      <c r="Q25" s="15">
        <f>Table1[[#This Row],[Total Direct Construction Cost (a)]]/Table1[[#This Row],[sizing_base_value]]</f>
        <v>3364.2857142857142</v>
      </c>
      <c r="R25" s="15">
        <f>Table1[[#This Row],[Total Indirect Non-Construction Cost ©]]/Table1[[#This Row],[sizing_base_value]]</f>
        <v>1400</v>
      </c>
      <c r="S25" s="15">
        <f>Table1[[#This Row],[Total Project Cost (d) (a)+(b)+©]]/Table1[[#This Row],[sizing_base_value]]</f>
        <v>4764.2857142857147</v>
      </c>
      <c r="T25" s="15">
        <f>Table1[[#This Row],[O&amp;M Costs (Annual) (e)]]/Table1[[#This Row],[sizing_base_value]]</f>
        <v>57.142857142857146</v>
      </c>
    </row>
    <row r="26" spans="1:20" x14ac:dyDescent="0.2">
      <c r="A26" s="1" t="s">
        <v>57</v>
      </c>
      <c r="B26" s="1" t="s">
        <v>58</v>
      </c>
      <c r="C26" s="1" t="s">
        <v>246</v>
      </c>
      <c r="D26" s="1" t="s">
        <v>245</v>
      </c>
      <c r="E26" s="14">
        <v>200</v>
      </c>
      <c r="F26" s="1" t="s">
        <v>28</v>
      </c>
      <c r="G26" s="1" t="s">
        <v>28</v>
      </c>
      <c r="H26" s="15">
        <v>11200</v>
      </c>
      <c r="I26" s="15">
        <v>0</v>
      </c>
      <c r="J26" s="15">
        <v>4600</v>
      </c>
      <c r="K26" s="15">
        <v>15800</v>
      </c>
      <c r="L26" s="15">
        <v>2300</v>
      </c>
      <c r="M26" s="15">
        <v>75700</v>
      </c>
      <c r="N26" s="3" t="str">
        <f>RIGHT(Table1[[#This Row],[description]], LEN(Table1[[#This Row],[description]])-5)</f>
        <v>08A_Pervious Concrete Sidewalk (no sand layer)</v>
      </c>
      <c r="O26" s="3" t="str">
        <f>LEFT(Table1[[#This Row],[_drop_wqbe]],FIND("_",Table1[[#This Row],[_drop_wqbe]])-1)</f>
        <v>08A</v>
      </c>
      <c r="P26" s="3" t="str">
        <f>_xlfn.XLOOKUP(Table1[[#This Row],[code]],'BMP Crosswalk'!B:B,'BMP Crosswalk'!F:F,"--",0,1)</f>
        <v>Pervious Pavement</v>
      </c>
      <c r="Q26" s="15">
        <f>Table1[[#This Row],[Total Direct Construction Cost (a)]]/Table1[[#This Row],[sizing_base_value]]</f>
        <v>56</v>
      </c>
      <c r="R26" s="15">
        <f>Table1[[#This Row],[Total Indirect Non-Construction Cost ©]]/Table1[[#This Row],[sizing_base_value]]</f>
        <v>23</v>
      </c>
      <c r="S26" s="15">
        <f>Table1[[#This Row],[Total Project Cost (d) (a)+(b)+©]]/Table1[[#This Row],[sizing_base_value]]</f>
        <v>79</v>
      </c>
      <c r="T26" s="15">
        <f>Table1[[#This Row],[O&amp;M Costs (Annual) (e)]]/Table1[[#This Row],[sizing_base_value]]</f>
        <v>11.5</v>
      </c>
    </row>
    <row r="27" spans="1:20" x14ac:dyDescent="0.2">
      <c r="A27" s="1" t="s">
        <v>57</v>
      </c>
      <c r="B27" s="1" t="s">
        <v>59</v>
      </c>
      <c r="C27" s="1" t="s">
        <v>246</v>
      </c>
      <c r="D27" s="1" t="s">
        <v>245</v>
      </c>
      <c r="E27" s="14">
        <v>200</v>
      </c>
      <c r="F27" s="1" t="s">
        <v>28</v>
      </c>
      <c r="G27" s="1" t="s">
        <v>28</v>
      </c>
      <c r="H27" s="15">
        <v>5900</v>
      </c>
      <c r="I27" s="15">
        <v>0</v>
      </c>
      <c r="J27" s="15">
        <v>2400</v>
      </c>
      <c r="K27" s="15">
        <v>8300</v>
      </c>
      <c r="L27" s="15">
        <v>2300</v>
      </c>
      <c r="M27" s="15">
        <v>63800</v>
      </c>
      <c r="N27" s="3" t="str">
        <f>RIGHT(Table1[[#This Row],[description]], LEN(Table1[[#This Row],[description]])-5)</f>
        <v>08B_Porous Asphalt Driveway (with sand layer)</v>
      </c>
      <c r="O27" s="3" t="str">
        <f>LEFT(Table1[[#This Row],[_drop_wqbe]],FIND("_",Table1[[#This Row],[_drop_wqbe]])-1)</f>
        <v>08B</v>
      </c>
      <c r="P27" s="3" t="str">
        <f>_xlfn.XLOOKUP(Table1[[#This Row],[code]],'BMP Crosswalk'!B:B,'BMP Crosswalk'!F:F,"--",0,1)</f>
        <v>Pervious Pavement</v>
      </c>
      <c r="Q27" s="15">
        <f>Table1[[#This Row],[Total Direct Construction Cost (a)]]/Table1[[#This Row],[sizing_base_value]]</f>
        <v>29.5</v>
      </c>
      <c r="R27" s="15">
        <f>Table1[[#This Row],[Total Indirect Non-Construction Cost ©]]/Table1[[#This Row],[sizing_base_value]]</f>
        <v>12</v>
      </c>
      <c r="S27" s="15">
        <f>Table1[[#This Row],[Total Project Cost (d) (a)+(b)+©]]/Table1[[#This Row],[sizing_base_value]]</f>
        <v>41.5</v>
      </c>
      <c r="T27" s="15">
        <f>Table1[[#This Row],[O&amp;M Costs (Annual) (e)]]/Table1[[#This Row],[sizing_base_value]]</f>
        <v>11.5</v>
      </c>
    </row>
    <row r="28" spans="1:20" x14ac:dyDescent="0.2">
      <c r="A28" s="1" t="s">
        <v>57</v>
      </c>
      <c r="B28" s="1" t="s">
        <v>60</v>
      </c>
      <c r="C28" s="1" t="s">
        <v>246</v>
      </c>
      <c r="D28" s="1" t="s">
        <v>245</v>
      </c>
      <c r="E28" s="14">
        <v>200</v>
      </c>
      <c r="F28" s="1" t="s">
        <v>28</v>
      </c>
      <c r="G28" s="1" t="s">
        <v>28</v>
      </c>
      <c r="H28" s="15">
        <v>7800</v>
      </c>
      <c r="I28" s="15">
        <v>0</v>
      </c>
      <c r="J28" s="15">
        <v>3200</v>
      </c>
      <c r="K28" s="15">
        <v>11000</v>
      </c>
      <c r="L28" s="15">
        <v>2300</v>
      </c>
      <c r="M28" s="15">
        <v>68400</v>
      </c>
      <c r="N28" s="3" t="str">
        <f>RIGHT(Table1[[#This Row],[description]], LEN(Table1[[#This Row],[description]])-5)</f>
        <v>08C_Permeable Paver Driveway (with sand layer)</v>
      </c>
      <c r="O28" s="3" t="str">
        <f>LEFT(Table1[[#This Row],[_drop_wqbe]],FIND("_",Table1[[#This Row],[_drop_wqbe]])-1)</f>
        <v>08C</v>
      </c>
      <c r="P28" s="3" t="str">
        <f>_xlfn.XLOOKUP(Table1[[#This Row],[code]],'BMP Crosswalk'!B:B,'BMP Crosswalk'!F:F,"--",0,1)</f>
        <v>Pervious Pavement</v>
      </c>
      <c r="Q28" s="15">
        <f>Table1[[#This Row],[Total Direct Construction Cost (a)]]/Table1[[#This Row],[sizing_base_value]]</f>
        <v>39</v>
      </c>
      <c r="R28" s="15">
        <f>Table1[[#This Row],[Total Indirect Non-Construction Cost ©]]/Table1[[#This Row],[sizing_base_value]]</f>
        <v>16</v>
      </c>
      <c r="S28" s="15">
        <f>Table1[[#This Row],[Total Project Cost (d) (a)+(b)+©]]/Table1[[#This Row],[sizing_base_value]]</f>
        <v>55</v>
      </c>
      <c r="T28" s="15">
        <f>Table1[[#This Row],[O&amp;M Costs (Annual) (e)]]/Table1[[#This Row],[sizing_base_value]]</f>
        <v>11.5</v>
      </c>
    </row>
    <row r="29" spans="1:20" x14ac:dyDescent="0.2">
      <c r="A29" s="1" t="s">
        <v>57</v>
      </c>
      <c r="B29" s="1" t="s">
        <v>61</v>
      </c>
      <c r="C29" s="1" t="s">
        <v>246</v>
      </c>
      <c r="D29" s="1" t="s">
        <v>245</v>
      </c>
      <c r="E29" s="14">
        <v>200</v>
      </c>
      <c r="F29" s="1" t="s">
        <v>28</v>
      </c>
      <c r="G29" s="1" t="s">
        <v>28</v>
      </c>
      <c r="H29" s="15">
        <v>6700</v>
      </c>
      <c r="I29" s="15">
        <v>0</v>
      </c>
      <c r="J29" s="15">
        <v>2800</v>
      </c>
      <c r="K29" s="15">
        <v>9500</v>
      </c>
      <c r="L29" s="15">
        <v>2300</v>
      </c>
      <c r="M29" s="15">
        <v>64800</v>
      </c>
      <c r="N29" s="3" t="str">
        <f>RIGHT(Table1[[#This Row],[description]], LEN(Table1[[#This Row],[description]])-5)</f>
        <v>08D_Permeable Paver Plaza (no sand layer)</v>
      </c>
      <c r="O29" s="3" t="str">
        <f>LEFT(Table1[[#This Row],[_drop_wqbe]],FIND("_",Table1[[#This Row],[_drop_wqbe]])-1)</f>
        <v>08D</v>
      </c>
      <c r="P29" s="3" t="str">
        <f>_xlfn.XLOOKUP(Table1[[#This Row],[code]],'BMP Crosswalk'!B:B,'BMP Crosswalk'!F:F,"--",0,1)</f>
        <v>Pervious Pavement</v>
      </c>
      <c r="Q29" s="15">
        <f>Table1[[#This Row],[Total Direct Construction Cost (a)]]/Table1[[#This Row],[sizing_base_value]]</f>
        <v>33.5</v>
      </c>
      <c r="R29" s="15">
        <f>Table1[[#This Row],[Total Indirect Non-Construction Cost ©]]/Table1[[#This Row],[sizing_base_value]]</f>
        <v>14</v>
      </c>
      <c r="S29" s="15">
        <f>Table1[[#This Row],[Total Project Cost (d) (a)+(b)+©]]/Table1[[#This Row],[sizing_base_value]]</f>
        <v>47.5</v>
      </c>
      <c r="T29" s="15">
        <f>Table1[[#This Row],[O&amp;M Costs (Annual) (e)]]/Table1[[#This Row],[sizing_base_value]]</f>
        <v>11.5</v>
      </c>
    </row>
    <row r="30" spans="1:20" x14ac:dyDescent="0.2">
      <c r="A30" s="1" t="s">
        <v>62</v>
      </c>
      <c r="B30" s="1" t="s">
        <v>63</v>
      </c>
      <c r="C30" s="1" t="s">
        <v>246</v>
      </c>
      <c r="D30" s="1" t="s">
        <v>245</v>
      </c>
      <c r="E30" s="14">
        <v>100</v>
      </c>
      <c r="F30" s="1" t="s">
        <v>64</v>
      </c>
      <c r="G30" s="1" t="s">
        <v>64</v>
      </c>
      <c r="H30" s="15">
        <v>1800</v>
      </c>
      <c r="I30" s="15">
        <v>0</v>
      </c>
      <c r="J30" s="15">
        <v>800</v>
      </c>
      <c r="K30" s="15">
        <v>2600</v>
      </c>
      <c r="L30" s="15">
        <v>700</v>
      </c>
      <c r="M30" s="15">
        <v>16800</v>
      </c>
      <c r="N30" s="3" t="str">
        <f>RIGHT(Table1[[#This Row],[description]], LEN(Table1[[#This Row],[description]])-5)</f>
        <v>9A_Removal of Impervious Surfaces on Property (wheel strips)</v>
      </c>
      <c r="O30" s="3" t="str">
        <f>LEFT(Table1[[#This Row],[_drop_wqbe]],FIND("_",Table1[[#This Row],[_drop_wqbe]])-1)</f>
        <v>9A</v>
      </c>
      <c r="P30" s="3" t="str">
        <f>_xlfn.XLOOKUP(Table1[[#This Row],[code]],'BMP Crosswalk'!B:B,'BMP Crosswalk'!F:F,"--",0,1)</f>
        <v>None</v>
      </c>
      <c r="Q30" s="15">
        <f>Table1[[#This Row],[Total Direct Construction Cost (a)]]/Table1[[#This Row],[sizing_base_value]]</f>
        <v>18</v>
      </c>
      <c r="R30" s="15">
        <f>Table1[[#This Row],[Total Indirect Non-Construction Cost ©]]/Table1[[#This Row],[sizing_base_value]]</f>
        <v>8</v>
      </c>
      <c r="S30" s="15">
        <f>Table1[[#This Row],[Total Project Cost (d) (a)+(b)+©]]/Table1[[#This Row],[sizing_base_value]]</f>
        <v>26</v>
      </c>
      <c r="T30" s="15">
        <f>Table1[[#This Row],[O&amp;M Costs (Annual) (e)]]/Table1[[#This Row],[sizing_base_value]]</f>
        <v>7</v>
      </c>
    </row>
    <row r="31" spans="1:20" x14ac:dyDescent="0.2">
      <c r="A31" s="1" t="s">
        <v>62</v>
      </c>
      <c r="B31" s="1" t="s">
        <v>65</v>
      </c>
      <c r="C31" s="1" t="s">
        <v>246</v>
      </c>
      <c r="D31" s="1" t="s">
        <v>245</v>
      </c>
      <c r="E31" s="14">
        <v>100</v>
      </c>
      <c r="F31" s="1" t="s">
        <v>64</v>
      </c>
      <c r="G31" s="1" t="s">
        <v>64</v>
      </c>
      <c r="H31" s="15">
        <v>1400</v>
      </c>
      <c r="I31" s="15">
        <v>0</v>
      </c>
      <c r="J31" s="15">
        <v>600</v>
      </c>
      <c r="K31" s="15">
        <v>2000</v>
      </c>
      <c r="L31" s="15">
        <v>700</v>
      </c>
      <c r="M31" s="15">
        <v>16200</v>
      </c>
      <c r="N31" s="3" t="str">
        <f>RIGHT(Table1[[#This Row],[description]], LEN(Table1[[#This Row],[description]])-5)</f>
        <v>9B_Removal of Impervious Surfaces on Property (no wheel strips)</v>
      </c>
      <c r="O31" s="3" t="str">
        <f>LEFT(Table1[[#This Row],[_drop_wqbe]],FIND("_",Table1[[#This Row],[_drop_wqbe]])-1)</f>
        <v>9B</v>
      </c>
      <c r="P31" s="3" t="str">
        <f>_xlfn.XLOOKUP(Table1[[#This Row],[code]],'BMP Crosswalk'!B:B,'BMP Crosswalk'!F:F,"--",0,1)</f>
        <v>None</v>
      </c>
      <c r="Q31" s="15">
        <f>Table1[[#This Row],[Total Direct Construction Cost (a)]]/Table1[[#This Row],[sizing_base_value]]</f>
        <v>14</v>
      </c>
      <c r="R31" s="15">
        <f>Table1[[#This Row],[Total Indirect Non-Construction Cost ©]]/Table1[[#This Row],[sizing_base_value]]</f>
        <v>6</v>
      </c>
      <c r="S31" s="15">
        <f>Table1[[#This Row],[Total Project Cost (d) (a)+(b)+©]]/Table1[[#This Row],[sizing_base_value]]</f>
        <v>20</v>
      </c>
      <c r="T31" s="15">
        <f>Table1[[#This Row],[O&amp;M Costs (Annual) (e)]]/Table1[[#This Row],[sizing_base_value]]</f>
        <v>7</v>
      </c>
    </row>
    <row r="32" spans="1:20" x14ac:dyDescent="0.2">
      <c r="A32" s="1" t="s">
        <v>66</v>
      </c>
      <c r="B32" s="1" t="s">
        <v>67</v>
      </c>
      <c r="C32" s="1" t="s">
        <v>246</v>
      </c>
      <c r="D32" s="1" t="s">
        <v>245</v>
      </c>
      <c r="E32" s="14">
        <v>2592</v>
      </c>
      <c r="F32" s="1" t="s">
        <v>68</v>
      </c>
      <c r="G32" s="1" t="s">
        <v>69</v>
      </c>
      <c r="H32" s="15">
        <v>3281800</v>
      </c>
      <c r="I32" s="15">
        <v>0</v>
      </c>
      <c r="J32" s="15">
        <v>2493700</v>
      </c>
      <c r="K32" s="15">
        <v>5775500</v>
      </c>
      <c r="L32" s="15">
        <v>5200</v>
      </c>
      <c r="M32" s="15">
        <v>5905200</v>
      </c>
      <c r="N32" s="3" t="str">
        <f>RIGHT(Table1[[#This Row],[description]], LEN(Table1[[#This Row],[description]])-5)</f>
        <v>11A_Detention Vault on Public Property</v>
      </c>
      <c r="O32" s="3" t="str">
        <f>LEFT(Table1[[#This Row],[_drop_wqbe]],FIND("_",Table1[[#This Row],[_drop_wqbe]])-1)</f>
        <v>11A</v>
      </c>
      <c r="P32" s="3" t="str">
        <f>_xlfn.XLOOKUP(Table1[[#This Row],[code]],'BMP Crosswalk'!B:B,'BMP Crosswalk'!F:F,"--",0,1)</f>
        <v>Tank</v>
      </c>
      <c r="Q32" s="15">
        <f>Table1[[#This Row],[Total Direct Construction Cost (a)]]/Table1[[#This Row],[sizing_base_value]]</f>
        <v>1266.1265432098764</v>
      </c>
      <c r="R32" s="15">
        <f>Table1[[#This Row],[Total Indirect Non-Construction Cost ©]]/Table1[[#This Row],[sizing_base_value]]</f>
        <v>962.07561728395058</v>
      </c>
      <c r="S32" s="15">
        <f>Table1[[#This Row],[Total Project Cost (d) (a)+(b)+©]]/Table1[[#This Row],[sizing_base_value]]</f>
        <v>2228.2021604938273</v>
      </c>
      <c r="T32" s="15">
        <f>Table1[[#This Row],[O&amp;M Costs (Annual) (e)]]/Table1[[#This Row],[sizing_base_value]]</f>
        <v>2.0061728395061729</v>
      </c>
    </row>
    <row r="33" spans="1:20" x14ac:dyDescent="0.2">
      <c r="A33" s="1" t="s">
        <v>66</v>
      </c>
      <c r="B33" s="1" t="s">
        <v>70</v>
      </c>
      <c r="C33" s="1" t="s">
        <v>246</v>
      </c>
      <c r="D33" s="1" t="s">
        <v>245</v>
      </c>
      <c r="E33" s="14">
        <v>2592</v>
      </c>
      <c r="F33" s="1" t="s">
        <v>68</v>
      </c>
      <c r="G33" s="1" t="s">
        <v>69</v>
      </c>
      <c r="H33" s="15">
        <v>3638400</v>
      </c>
      <c r="I33" s="15">
        <v>0</v>
      </c>
      <c r="J33" s="15">
        <v>2664000</v>
      </c>
      <c r="K33" s="15">
        <v>6302400</v>
      </c>
      <c r="L33" s="15">
        <v>5200</v>
      </c>
      <c r="M33" s="15">
        <v>6432100</v>
      </c>
      <c r="N33" s="3" t="str">
        <f>RIGHT(Table1[[#This Row],[description]], LEN(Table1[[#This Row],[description]])-5)</f>
        <v>11B_Detention Vault in ROW</v>
      </c>
      <c r="O33" s="3" t="str">
        <f>LEFT(Table1[[#This Row],[_drop_wqbe]],FIND("_",Table1[[#This Row],[_drop_wqbe]])-1)</f>
        <v>11B</v>
      </c>
      <c r="P33" s="3" t="str">
        <f>_xlfn.XLOOKUP(Table1[[#This Row],[code]],'BMP Crosswalk'!B:B,'BMP Crosswalk'!F:F,"--",0,1)</f>
        <v>Tank</v>
      </c>
      <c r="Q33" s="15">
        <f>Table1[[#This Row],[Total Direct Construction Cost (a)]]/Table1[[#This Row],[sizing_base_value]]</f>
        <v>1403.7037037037037</v>
      </c>
      <c r="R33" s="15">
        <f>Table1[[#This Row],[Total Indirect Non-Construction Cost ©]]/Table1[[#This Row],[sizing_base_value]]</f>
        <v>1027.7777777777778</v>
      </c>
      <c r="S33" s="15">
        <f>Table1[[#This Row],[Total Project Cost (d) (a)+(b)+©]]/Table1[[#This Row],[sizing_base_value]]</f>
        <v>2431.4814814814813</v>
      </c>
      <c r="T33" s="15">
        <f>Table1[[#This Row],[O&amp;M Costs (Annual) (e)]]/Table1[[#This Row],[sizing_base_value]]</f>
        <v>2.0061728395061729</v>
      </c>
    </row>
    <row r="34" spans="1:20" x14ac:dyDescent="0.2">
      <c r="A34" s="1" t="s">
        <v>66</v>
      </c>
      <c r="B34" s="1" t="s">
        <v>71</v>
      </c>
      <c r="C34" s="1" t="s">
        <v>246</v>
      </c>
      <c r="D34" s="1" t="s">
        <v>245</v>
      </c>
      <c r="E34" s="14">
        <v>2592</v>
      </c>
      <c r="F34" s="1" t="s">
        <v>68</v>
      </c>
      <c r="G34" s="1" t="s">
        <v>69</v>
      </c>
      <c r="H34" s="15">
        <v>3281800</v>
      </c>
      <c r="I34" s="15">
        <v>422603</v>
      </c>
      <c r="J34" s="15">
        <v>3043100</v>
      </c>
      <c r="K34" s="15">
        <v>6324900</v>
      </c>
      <c r="L34" s="15">
        <v>5200</v>
      </c>
      <c r="M34" s="15">
        <v>6454600</v>
      </c>
      <c r="N34" s="3" t="str">
        <f>RIGHT(Table1[[#This Row],[description]], LEN(Table1[[#This Row],[description]])-5)</f>
        <v>11C_Detention Vault with Property Cost</v>
      </c>
      <c r="O34" s="3" t="str">
        <f>LEFT(Table1[[#This Row],[_drop_wqbe]],FIND("_",Table1[[#This Row],[_drop_wqbe]])-1)</f>
        <v>11C</v>
      </c>
      <c r="P34" s="3" t="str">
        <f>_xlfn.XLOOKUP(Table1[[#This Row],[code]],'BMP Crosswalk'!B:B,'BMP Crosswalk'!F:F,"--",0,1)</f>
        <v>Tank</v>
      </c>
      <c r="Q34" s="15">
        <f>Table1[[#This Row],[Total Direct Construction Cost (a)]]/Table1[[#This Row],[sizing_base_value]]</f>
        <v>1266.1265432098764</v>
      </c>
      <c r="R34" s="15">
        <f>Table1[[#This Row],[Total Indirect Non-Construction Cost ©]]/Table1[[#This Row],[sizing_base_value]]</f>
        <v>1174.0354938271605</v>
      </c>
      <c r="S34" s="15">
        <f>Table1[[#This Row],[Total Project Cost (d) (a)+(b)+©]]/Table1[[#This Row],[sizing_base_value]]</f>
        <v>2440.162037037037</v>
      </c>
      <c r="T34" s="15">
        <f>Table1[[#This Row],[O&amp;M Costs (Annual) (e)]]/Table1[[#This Row],[sizing_base_value]]</f>
        <v>2.0061728395061729</v>
      </c>
    </row>
    <row r="35" spans="1:20" x14ac:dyDescent="0.2">
      <c r="A35" s="1" t="s">
        <v>72</v>
      </c>
      <c r="B35" s="1" t="s">
        <v>73</v>
      </c>
      <c r="C35" s="1" t="s">
        <v>246</v>
      </c>
      <c r="D35" s="1" t="s">
        <v>245</v>
      </c>
      <c r="E35" s="14">
        <v>4500</v>
      </c>
      <c r="F35" s="1" t="s">
        <v>74</v>
      </c>
      <c r="G35" s="1" t="s">
        <v>75</v>
      </c>
      <c r="H35" s="15">
        <v>694600</v>
      </c>
      <c r="I35" s="15">
        <v>0</v>
      </c>
      <c r="J35" s="15">
        <v>527800</v>
      </c>
      <c r="K35" s="15">
        <v>1222400</v>
      </c>
      <c r="L35" s="15">
        <v>10000</v>
      </c>
      <c r="M35" s="15">
        <v>1444200</v>
      </c>
      <c r="N35" s="3" t="str">
        <f>RIGHT(Table1[[#This Row],[description]], LEN(Table1[[#This Row],[description]])-5)</f>
        <v>12A_Detention Pond on Public Property</v>
      </c>
      <c r="O35" s="3" t="str">
        <f>LEFT(Table1[[#This Row],[_drop_wqbe]],FIND("_",Table1[[#This Row],[_drop_wqbe]])-1)</f>
        <v>12A</v>
      </c>
      <c r="P35" s="3" t="str">
        <f>_xlfn.XLOOKUP(Table1[[#This Row],[code]],'BMP Crosswalk'!B:B,'BMP Crosswalk'!F:F,"--",0,1)</f>
        <v>Pond</v>
      </c>
      <c r="Q35" s="15">
        <f>Table1[[#This Row],[Total Direct Construction Cost (a)]]/Table1[[#This Row],[sizing_base_value]]</f>
        <v>154.35555555555555</v>
      </c>
      <c r="R35" s="15">
        <f>Table1[[#This Row],[Total Indirect Non-Construction Cost ©]]/Table1[[#This Row],[sizing_base_value]]</f>
        <v>117.28888888888889</v>
      </c>
      <c r="S35" s="15">
        <f>Table1[[#This Row],[Total Project Cost (d) (a)+(b)+©]]/Table1[[#This Row],[sizing_base_value]]</f>
        <v>271.64444444444445</v>
      </c>
      <c r="T35" s="15">
        <f>Table1[[#This Row],[O&amp;M Costs (Annual) (e)]]/Table1[[#This Row],[sizing_base_value]]</f>
        <v>2.2222222222222223</v>
      </c>
    </row>
    <row r="36" spans="1:20" x14ac:dyDescent="0.2">
      <c r="A36" s="1" t="s">
        <v>72</v>
      </c>
      <c r="B36" s="1" t="s">
        <v>76</v>
      </c>
      <c r="C36" s="1" t="s">
        <v>246</v>
      </c>
      <c r="D36" s="1" t="s">
        <v>245</v>
      </c>
      <c r="E36" s="14">
        <v>4500</v>
      </c>
      <c r="F36" s="1" t="s">
        <v>74</v>
      </c>
      <c r="G36" s="1" t="s">
        <v>75</v>
      </c>
      <c r="H36" s="15">
        <v>694200</v>
      </c>
      <c r="I36" s="15">
        <v>1144543</v>
      </c>
      <c r="J36" s="15">
        <v>2015400</v>
      </c>
      <c r="K36" s="15">
        <v>2709600</v>
      </c>
      <c r="L36" s="15">
        <v>10000</v>
      </c>
      <c r="M36" s="15">
        <v>2931400</v>
      </c>
      <c r="N36" s="3" t="str">
        <f>RIGHT(Table1[[#This Row],[description]], LEN(Table1[[#This Row],[description]])-5)</f>
        <v>12B_Detention Pond with Property Cost</v>
      </c>
      <c r="O36" s="3" t="str">
        <f>LEFT(Table1[[#This Row],[_drop_wqbe]],FIND("_",Table1[[#This Row],[_drop_wqbe]])-1)</f>
        <v>12B</v>
      </c>
      <c r="P36" s="3" t="str">
        <f>_xlfn.XLOOKUP(Table1[[#This Row],[code]],'BMP Crosswalk'!B:B,'BMP Crosswalk'!F:F,"--",0,1)</f>
        <v>Pond</v>
      </c>
      <c r="Q36" s="15">
        <f>Table1[[#This Row],[Total Direct Construction Cost (a)]]/Table1[[#This Row],[sizing_base_value]]</f>
        <v>154.26666666666668</v>
      </c>
      <c r="R36" s="15">
        <f>Table1[[#This Row],[Total Indirect Non-Construction Cost ©]]/Table1[[#This Row],[sizing_base_value]]</f>
        <v>447.86666666666667</v>
      </c>
      <c r="S36" s="15">
        <f>Table1[[#This Row],[Total Project Cost (d) (a)+(b)+©]]/Table1[[#This Row],[sizing_base_value]]</f>
        <v>602.13333333333333</v>
      </c>
      <c r="T36" s="15">
        <f>Table1[[#This Row],[O&amp;M Costs (Annual) (e)]]/Table1[[#This Row],[sizing_base_value]]</f>
        <v>2.2222222222222223</v>
      </c>
    </row>
    <row r="37" spans="1:20" x14ac:dyDescent="0.2">
      <c r="A37" s="1" t="s">
        <v>77</v>
      </c>
      <c r="B37" s="1" t="s">
        <v>78</v>
      </c>
      <c r="C37" s="1" t="s">
        <v>246</v>
      </c>
      <c r="D37" s="1" t="s">
        <v>245</v>
      </c>
      <c r="E37" s="14">
        <v>2785</v>
      </c>
      <c r="F37" s="1" t="s">
        <v>79</v>
      </c>
      <c r="G37" s="1" t="s">
        <v>80</v>
      </c>
      <c r="H37" s="15">
        <v>500500</v>
      </c>
      <c r="I37" s="15">
        <v>0</v>
      </c>
      <c r="J37" s="15">
        <v>380300</v>
      </c>
      <c r="K37" s="15">
        <v>880800</v>
      </c>
      <c r="L37" s="15">
        <v>5900</v>
      </c>
      <c r="M37" s="15">
        <v>1016100</v>
      </c>
      <c r="N37" s="3" t="str">
        <f>RIGHT(Table1[[#This Row],[description]], LEN(Table1[[#This Row],[description]])-5)</f>
        <v>13A_Infiltration Pond Till Soil on Public Property</v>
      </c>
      <c r="O37" s="3" t="str">
        <f>LEFT(Table1[[#This Row],[_drop_wqbe]],FIND("_",Table1[[#This Row],[_drop_wqbe]])-1)</f>
        <v>13A</v>
      </c>
      <c r="P37" s="3" t="str">
        <f>_xlfn.XLOOKUP(Table1[[#This Row],[code]],'BMP Crosswalk'!B:B,'BMP Crosswalk'!F:F,"--",0,1)</f>
        <v>Pond</v>
      </c>
      <c r="Q37" s="15">
        <f>Table1[[#This Row],[Total Direct Construction Cost (a)]]/Table1[[#This Row],[sizing_base_value]]</f>
        <v>179.71274685816877</v>
      </c>
      <c r="R37" s="15">
        <f>Table1[[#This Row],[Total Indirect Non-Construction Cost ©]]/Table1[[#This Row],[sizing_base_value]]</f>
        <v>136.55296229802514</v>
      </c>
      <c r="S37" s="15">
        <f>Table1[[#This Row],[Total Project Cost (d) (a)+(b)+©]]/Table1[[#This Row],[sizing_base_value]]</f>
        <v>316.26570915619391</v>
      </c>
      <c r="T37" s="15">
        <f>Table1[[#This Row],[O&amp;M Costs (Annual) (e)]]/Table1[[#This Row],[sizing_base_value]]</f>
        <v>2.1184919210053859</v>
      </c>
    </row>
    <row r="38" spans="1:20" x14ac:dyDescent="0.2">
      <c r="A38" s="1" t="s">
        <v>77</v>
      </c>
      <c r="B38" s="1" t="s">
        <v>81</v>
      </c>
      <c r="C38" s="1" t="s">
        <v>246</v>
      </c>
      <c r="D38" s="1" t="s">
        <v>245</v>
      </c>
      <c r="E38" s="14">
        <v>1479</v>
      </c>
      <c r="F38" s="1" t="s">
        <v>82</v>
      </c>
      <c r="G38" s="1" t="s">
        <v>83</v>
      </c>
      <c r="H38" s="15">
        <v>448200</v>
      </c>
      <c r="I38" s="15">
        <v>0</v>
      </c>
      <c r="J38" s="15">
        <v>340600</v>
      </c>
      <c r="K38" s="15">
        <v>788800</v>
      </c>
      <c r="L38" s="15">
        <v>3700</v>
      </c>
      <c r="M38" s="15">
        <v>878000</v>
      </c>
      <c r="N38" s="3" t="str">
        <f>RIGHT(Table1[[#This Row],[description]], LEN(Table1[[#This Row],[description]])-5)</f>
        <v>13B_Infiltration Pond Outwash Soil on Public Property</v>
      </c>
      <c r="O38" s="3" t="str">
        <f>LEFT(Table1[[#This Row],[_drop_wqbe]],FIND("_",Table1[[#This Row],[_drop_wqbe]])-1)</f>
        <v>13B</v>
      </c>
      <c r="P38" s="3" t="str">
        <f>_xlfn.XLOOKUP(Table1[[#This Row],[code]],'BMP Crosswalk'!B:B,'BMP Crosswalk'!F:F,"--",0,1)</f>
        <v>Pond</v>
      </c>
      <c r="Q38" s="15">
        <f>Table1[[#This Row],[Total Direct Construction Cost (a)]]/Table1[[#This Row],[sizing_base_value]]</f>
        <v>303.04259634888439</v>
      </c>
      <c r="R38" s="15">
        <f>Table1[[#This Row],[Total Indirect Non-Construction Cost ©]]/Table1[[#This Row],[sizing_base_value]]</f>
        <v>230.29073698444896</v>
      </c>
      <c r="S38" s="15">
        <f>Table1[[#This Row],[Total Project Cost (d) (a)+(b)+©]]/Table1[[#This Row],[sizing_base_value]]</f>
        <v>533.33333333333337</v>
      </c>
      <c r="T38" s="15">
        <f>Table1[[#This Row],[O&amp;M Costs (Annual) (e)]]/Table1[[#This Row],[sizing_base_value]]</f>
        <v>2.5016903313049359</v>
      </c>
    </row>
    <row r="39" spans="1:20" x14ac:dyDescent="0.2">
      <c r="A39" s="1" t="s">
        <v>77</v>
      </c>
      <c r="B39" s="1" t="s">
        <v>84</v>
      </c>
      <c r="C39" s="1" t="s">
        <v>246</v>
      </c>
      <c r="D39" s="1" t="s">
        <v>245</v>
      </c>
      <c r="E39" s="14">
        <v>2785</v>
      </c>
      <c r="F39" s="1" t="s">
        <v>79</v>
      </c>
      <c r="G39" s="1" t="s">
        <v>80</v>
      </c>
      <c r="H39" s="15">
        <v>500500</v>
      </c>
      <c r="I39" s="15">
        <v>891189</v>
      </c>
      <c r="J39" s="15">
        <v>1538800</v>
      </c>
      <c r="K39" s="15">
        <v>2039300</v>
      </c>
      <c r="L39" s="15">
        <v>5900</v>
      </c>
      <c r="M39" s="15">
        <v>2174600</v>
      </c>
      <c r="N39" s="3" t="str">
        <f>RIGHT(Table1[[#This Row],[description]], LEN(Table1[[#This Row],[description]])-5)</f>
        <v>13C_Infiltration Pond Till Soil with Property Cost</v>
      </c>
      <c r="O39" s="3" t="str">
        <f>LEFT(Table1[[#This Row],[_drop_wqbe]],FIND("_",Table1[[#This Row],[_drop_wqbe]])-1)</f>
        <v>13C</v>
      </c>
      <c r="P39" s="3" t="str">
        <f>_xlfn.XLOOKUP(Table1[[#This Row],[code]],'BMP Crosswalk'!B:B,'BMP Crosswalk'!F:F,"--",0,1)</f>
        <v>Pond</v>
      </c>
      <c r="Q39" s="15">
        <f>Table1[[#This Row],[Total Direct Construction Cost (a)]]/Table1[[#This Row],[sizing_base_value]]</f>
        <v>179.71274685816877</v>
      </c>
      <c r="R39" s="15">
        <f>Table1[[#This Row],[Total Indirect Non-Construction Cost ©]]/Table1[[#This Row],[sizing_base_value]]</f>
        <v>552.53141831238781</v>
      </c>
      <c r="S39" s="15">
        <f>Table1[[#This Row],[Total Project Cost (d) (a)+(b)+©]]/Table1[[#This Row],[sizing_base_value]]</f>
        <v>732.24416517055658</v>
      </c>
      <c r="T39" s="15">
        <f>Table1[[#This Row],[O&amp;M Costs (Annual) (e)]]/Table1[[#This Row],[sizing_base_value]]</f>
        <v>2.1184919210053859</v>
      </c>
    </row>
    <row r="40" spans="1:20" x14ac:dyDescent="0.2">
      <c r="A40" s="1" t="s">
        <v>77</v>
      </c>
      <c r="B40" s="1" t="s">
        <v>85</v>
      </c>
      <c r="C40" s="1" t="s">
        <v>246</v>
      </c>
      <c r="D40" s="1" t="s">
        <v>245</v>
      </c>
      <c r="E40" s="14">
        <v>1479</v>
      </c>
      <c r="F40" s="1" t="s">
        <v>82</v>
      </c>
      <c r="G40" s="1" t="s">
        <v>83</v>
      </c>
      <c r="H40" s="15">
        <v>448200</v>
      </c>
      <c r="I40" s="15">
        <v>891189</v>
      </c>
      <c r="J40" s="15">
        <v>1499100</v>
      </c>
      <c r="K40" s="15">
        <v>1947300</v>
      </c>
      <c r="L40" s="15">
        <v>3700</v>
      </c>
      <c r="M40" s="15">
        <v>2036500</v>
      </c>
      <c r="N40" s="3" t="str">
        <f>RIGHT(Table1[[#This Row],[description]], LEN(Table1[[#This Row],[description]])-5)</f>
        <v>13D_Infiltration Pond Outwash Soil with Property Cost</v>
      </c>
      <c r="O40" s="3" t="str">
        <f>LEFT(Table1[[#This Row],[_drop_wqbe]],FIND("_",Table1[[#This Row],[_drop_wqbe]])-1)</f>
        <v>13D</v>
      </c>
      <c r="P40" s="3" t="str">
        <f>_xlfn.XLOOKUP(Table1[[#This Row],[code]],'BMP Crosswalk'!B:B,'BMP Crosswalk'!F:F,"--",0,1)</f>
        <v>Pond</v>
      </c>
      <c r="Q40" s="15">
        <f>Table1[[#This Row],[Total Direct Construction Cost (a)]]/Table1[[#This Row],[sizing_base_value]]</f>
        <v>303.04259634888439</v>
      </c>
      <c r="R40" s="15">
        <f>Table1[[#This Row],[Total Indirect Non-Construction Cost ©]]/Table1[[#This Row],[sizing_base_value]]</f>
        <v>1013.5902636916836</v>
      </c>
      <c r="S40" s="15">
        <f>Table1[[#This Row],[Total Project Cost (d) (a)+(b)+©]]/Table1[[#This Row],[sizing_base_value]]</f>
        <v>1316.6328600405679</v>
      </c>
      <c r="T40" s="15">
        <f>Table1[[#This Row],[O&amp;M Costs (Annual) (e)]]/Table1[[#This Row],[sizing_base_value]]</f>
        <v>2.5016903313049359</v>
      </c>
    </row>
    <row r="41" spans="1:20" x14ac:dyDescent="0.2">
      <c r="A41" s="1" t="s">
        <v>77</v>
      </c>
      <c r="B41" s="1" t="s">
        <v>86</v>
      </c>
      <c r="C41" s="1" t="s">
        <v>246</v>
      </c>
      <c r="D41" s="1" t="s">
        <v>245</v>
      </c>
      <c r="E41" s="14">
        <v>1479</v>
      </c>
      <c r="F41" s="1" t="s">
        <v>87</v>
      </c>
      <c r="G41" s="1" t="s">
        <v>51</v>
      </c>
      <c r="H41" s="15">
        <v>529400</v>
      </c>
      <c r="I41" s="15">
        <v>0</v>
      </c>
      <c r="J41" s="15">
        <v>402300</v>
      </c>
      <c r="K41" s="15">
        <v>931700</v>
      </c>
      <c r="L41" s="15">
        <v>6600</v>
      </c>
      <c r="M41" s="15">
        <v>1082700</v>
      </c>
      <c r="N41" s="3" t="str">
        <f>RIGHT(Table1[[#This Row],[description]], LEN(Table1[[#This Row],[description]])-5)</f>
        <v>13E_Infiltration Pond Outwash Soil with High Rate Underground Filter System on Public Property</v>
      </c>
      <c r="O41" s="3" t="str">
        <f>LEFT(Table1[[#This Row],[_drop_wqbe]],FIND("_",Table1[[#This Row],[_drop_wqbe]])-1)</f>
        <v>13E</v>
      </c>
      <c r="P41" s="3" t="str">
        <f>_xlfn.XLOOKUP(Table1[[#This Row],[code]],'BMP Crosswalk'!B:B,'BMP Crosswalk'!F:F,"--",0,1)</f>
        <v>Pond</v>
      </c>
      <c r="Q41" s="15">
        <f>Table1[[#This Row],[Total Direct Construction Cost (a)]]/Table1[[#This Row],[sizing_base_value]]</f>
        <v>357.94455713319809</v>
      </c>
      <c r="R41" s="15">
        <f>Table1[[#This Row],[Total Indirect Non-Construction Cost ©]]/Table1[[#This Row],[sizing_base_value]]</f>
        <v>272.00811359026369</v>
      </c>
      <c r="S41" s="15">
        <f>Table1[[#This Row],[Total Project Cost (d) (a)+(b)+©]]/Table1[[#This Row],[sizing_base_value]]</f>
        <v>629.95267072346178</v>
      </c>
      <c r="T41" s="15">
        <f>Table1[[#This Row],[O&amp;M Costs (Annual) (e)]]/Table1[[#This Row],[sizing_base_value]]</f>
        <v>4.4624746450304258</v>
      </c>
    </row>
    <row r="42" spans="1:20" x14ac:dyDescent="0.2">
      <c r="A42" s="1" t="s">
        <v>77</v>
      </c>
      <c r="B42" s="1" t="s">
        <v>88</v>
      </c>
      <c r="C42" s="1" t="s">
        <v>246</v>
      </c>
      <c r="D42" s="1" t="s">
        <v>245</v>
      </c>
      <c r="E42" s="14">
        <v>1479</v>
      </c>
      <c r="F42" s="1" t="s">
        <v>87</v>
      </c>
      <c r="G42" s="1" t="s">
        <v>51</v>
      </c>
      <c r="H42" s="15">
        <v>529400</v>
      </c>
      <c r="I42" s="15">
        <v>893119</v>
      </c>
      <c r="J42" s="15">
        <v>1563300</v>
      </c>
      <c r="K42" s="15">
        <v>2092700</v>
      </c>
      <c r="L42" s="15">
        <v>6600</v>
      </c>
      <c r="M42" s="15">
        <v>2243700</v>
      </c>
      <c r="N42" s="3" t="str">
        <f>RIGHT(Table1[[#This Row],[description]], LEN(Table1[[#This Row],[description]])-5)</f>
        <v>13F_Infiltration Pond Outwash Soil with High Rate Underground Filter System with Property Cost</v>
      </c>
      <c r="O42" s="3" t="str">
        <f>LEFT(Table1[[#This Row],[_drop_wqbe]],FIND("_",Table1[[#This Row],[_drop_wqbe]])-1)</f>
        <v>13F</v>
      </c>
      <c r="P42" s="3" t="str">
        <f>_xlfn.XLOOKUP(Table1[[#This Row],[code]],'BMP Crosswalk'!B:B,'BMP Crosswalk'!F:F,"--",0,1)</f>
        <v>--</v>
      </c>
      <c r="Q42" s="15">
        <f>Table1[[#This Row],[Total Direct Construction Cost (a)]]/Table1[[#This Row],[sizing_base_value]]</f>
        <v>357.94455713319809</v>
      </c>
      <c r="R42" s="15">
        <f>Table1[[#This Row],[Total Indirect Non-Construction Cost ©]]/Table1[[#This Row],[sizing_base_value]]</f>
        <v>1056.9979716024341</v>
      </c>
      <c r="S42" s="15">
        <f>Table1[[#This Row],[Total Project Cost (d) (a)+(b)+©]]/Table1[[#This Row],[sizing_base_value]]</f>
        <v>1414.9425287356321</v>
      </c>
      <c r="T42" s="15">
        <f>Table1[[#This Row],[O&amp;M Costs (Annual) (e)]]/Table1[[#This Row],[sizing_base_value]]</f>
        <v>4.4624746450304258</v>
      </c>
    </row>
    <row r="43" spans="1:20" x14ac:dyDescent="0.2">
      <c r="A43" s="1" t="s">
        <v>89</v>
      </c>
      <c r="B43" s="1" t="s">
        <v>90</v>
      </c>
      <c r="C43" s="1" t="s">
        <v>246</v>
      </c>
      <c r="D43" s="1" t="s">
        <v>245</v>
      </c>
      <c r="E43" s="14">
        <v>1836</v>
      </c>
      <c r="F43" s="1" t="s">
        <v>91</v>
      </c>
      <c r="G43" s="1" t="s">
        <v>92</v>
      </c>
      <c r="H43" s="15">
        <v>2262300</v>
      </c>
      <c r="I43" s="15">
        <v>0</v>
      </c>
      <c r="J43" s="15">
        <v>1719000</v>
      </c>
      <c r="K43" s="15">
        <v>3981300</v>
      </c>
      <c r="L43" s="15">
        <v>4800</v>
      </c>
      <c r="M43" s="15">
        <v>4104000</v>
      </c>
      <c r="N43" s="3" t="str">
        <f>RIGHT(Table1[[#This Row],[description]], LEN(Table1[[#This Row],[description]])-5)</f>
        <v>14A_Infiltration Vault Till Soil on Public Property</v>
      </c>
      <c r="O43" s="3" t="str">
        <f>LEFT(Table1[[#This Row],[_drop_wqbe]],FIND("_",Table1[[#This Row],[_drop_wqbe]])-1)</f>
        <v>14A</v>
      </c>
      <c r="P43" s="3" t="str">
        <f>_xlfn.XLOOKUP(Table1[[#This Row],[code]],'BMP Crosswalk'!B:B,'BMP Crosswalk'!F:F,"--",0,1)</f>
        <v>Vault</v>
      </c>
      <c r="Q43" s="15">
        <f>Table1[[#This Row],[Total Direct Construction Cost (a)]]/Table1[[#This Row],[sizing_base_value]]</f>
        <v>1232.18954248366</v>
      </c>
      <c r="R43" s="15">
        <f>Table1[[#This Row],[Total Indirect Non-Construction Cost ©]]/Table1[[#This Row],[sizing_base_value]]</f>
        <v>936.27450980392155</v>
      </c>
      <c r="S43" s="15">
        <f>Table1[[#This Row],[Total Project Cost (d) (a)+(b)+©]]/Table1[[#This Row],[sizing_base_value]]</f>
        <v>2168.4640522875816</v>
      </c>
      <c r="T43" s="15">
        <f>Table1[[#This Row],[O&amp;M Costs (Annual) (e)]]/Table1[[#This Row],[sizing_base_value]]</f>
        <v>2.6143790849673203</v>
      </c>
    </row>
    <row r="44" spans="1:20" x14ac:dyDescent="0.2">
      <c r="A44" s="1" t="s">
        <v>89</v>
      </c>
      <c r="B44" s="1" t="s">
        <v>93</v>
      </c>
      <c r="C44" s="1" t="s">
        <v>246</v>
      </c>
      <c r="D44" s="1" t="s">
        <v>245</v>
      </c>
      <c r="E44" s="14">
        <v>1156</v>
      </c>
      <c r="F44" s="1" t="s">
        <v>94</v>
      </c>
      <c r="G44" s="1" t="s">
        <v>95</v>
      </c>
      <c r="H44" s="15">
        <v>1870200</v>
      </c>
      <c r="I44" s="15">
        <v>0</v>
      </c>
      <c r="J44" s="15">
        <v>1421100</v>
      </c>
      <c r="K44" s="15">
        <v>3291300</v>
      </c>
      <c r="L44" s="15">
        <v>4800</v>
      </c>
      <c r="M44" s="15">
        <v>3414000</v>
      </c>
      <c r="N44" s="3" t="str">
        <f>RIGHT(Table1[[#This Row],[description]], LEN(Table1[[#This Row],[description]])-5)</f>
        <v>14B_Infiltration Vault Outwash Soil on Public Property</v>
      </c>
      <c r="O44" s="3" t="str">
        <f>LEFT(Table1[[#This Row],[_drop_wqbe]],FIND("_",Table1[[#This Row],[_drop_wqbe]])-1)</f>
        <v>14B</v>
      </c>
      <c r="P44" s="3" t="str">
        <f>_xlfn.XLOOKUP(Table1[[#This Row],[code]],'BMP Crosswalk'!B:B,'BMP Crosswalk'!F:F,"--",0,1)</f>
        <v>Vault</v>
      </c>
      <c r="Q44" s="15">
        <f>Table1[[#This Row],[Total Direct Construction Cost (a)]]/Table1[[#This Row],[sizing_base_value]]</f>
        <v>1617.8200692041523</v>
      </c>
      <c r="R44" s="15">
        <f>Table1[[#This Row],[Total Indirect Non-Construction Cost ©]]/Table1[[#This Row],[sizing_base_value]]</f>
        <v>1229.3252595155709</v>
      </c>
      <c r="S44" s="15">
        <f>Table1[[#This Row],[Total Project Cost (d) (a)+(b)+©]]/Table1[[#This Row],[sizing_base_value]]</f>
        <v>2847.1453287197232</v>
      </c>
      <c r="T44" s="15">
        <f>Table1[[#This Row],[O&amp;M Costs (Annual) (e)]]/Table1[[#This Row],[sizing_base_value]]</f>
        <v>4.1522491349480966</v>
      </c>
    </row>
    <row r="45" spans="1:20" x14ac:dyDescent="0.2">
      <c r="A45" s="1" t="s">
        <v>89</v>
      </c>
      <c r="B45" s="1" t="s">
        <v>96</v>
      </c>
      <c r="C45" s="1" t="s">
        <v>246</v>
      </c>
      <c r="D45" s="1" t="s">
        <v>245</v>
      </c>
      <c r="E45" s="14">
        <v>1836</v>
      </c>
      <c r="F45" s="1" t="s">
        <v>91</v>
      </c>
      <c r="G45" s="1" t="s">
        <v>92</v>
      </c>
      <c r="H45" s="15">
        <v>2782300</v>
      </c>
      <c r="I45" s="15">
        <v>0</v>
      </c>
      <c r="J45" s="15">
        <v>2038800</v>
      </c>
      <c r="K45" s="15">
        <v>4821100</v>
      </c>
      <c r="L45" s="15">
        <v>4800</v>
      </c>
      <c r="M45" s="15">
        <v>4943800</v>
      </c>
      <c r="N45" s="3" t="str">
        <f>RIGHT(Table1[[#This Row],[description]], LEN(Table1[[#This Row],[description]])-5)</f>
        <v>14C_Infiltration Vault Till Soil in ROW</v>
      </c>
      <c r="O45" s="3" t="str">
        <f>LEFT(Table1[[#This Row],[_drop_wqbe]],FIND("_",Table1[[#This Row],[_drop_wqbe]])-1)</f>
        <v>14C</v>
      </c>
      <c r="P45" s="3" t="str">
        <f>_xlfn.XLOOKUP(Table1[[#This Row],[code]],'BMP Crosswalk'!B:B,'BMP Crosswalk'!F:F,"--",0,1)</f>
        <v>Vault</v>
      </c>
      <c r="Q45" s="15">
        <f>Table1[[#This Row],[Total Direct Construction Cost (a)]]/Table1[[#This Row],[sizing_base_value]]</f>
        <v>1515.4139433551197</v>
      </c>
      <c r="R45" s="15">
        <f>Table1[[#This Row],[Total Indirect Non-Construction Cost ©]]/Table1[[#This Row],[sizing_base_value]]</f>
        <v>1110.4575163398692</v>
      </c>
      <c r="S45" s="15">
        <f>Table1[[#This Row],[Total Project Cost (d) (a)+(b)+©]]/Table1[[#This Row],[sizing_base_value]]</f>
        <v>2625.871459694989</v>
      </c>
      <c r="T45" s="15">
        <f>Table1[[#This Row],[O&amp;M Costs (Annual) (e)]]/Table1[[#This Row],[sizing_base_value]]</f>
        <v>2.6143790849673203</v>
      </c>
    </row>
    <row r="46" spans="1:20" x14ac:dyDescent="0.2">
      <c r="A46" s="1" t="s">
        <v>89</v>
      </c>
      <c r="B46" s="1" t="s">
        <v>97</v>
      </c>
      <c r="C46" s="1" t="s">
        <v>246</v>
      </c>
      <c r="D46" s="1" t="s">
        <v>245</v>
      </c>
      <c r="E46" s="14">
        <v>1156</v>
      </c>
      <c r="F46" s="1" t="s">
        <v>94</v>
      </c>
      <c r="G46" s="1" t="s">
        <v>95</v>
      </c>
      <c r="H46" s="15">
        <v>2282500</v>
      </c>
      <c r="I46" s="15">
        <v>0</v>
      </c>
      <c r="J46" s="15">
        <v>1673800</v>
      </c>
      <c r="K46" s="15">
        <v>3956300</v>
      </c>
      <c r="L46" s="15">
        <v>4800</v>
      </c>
      <c r="M46" s="15">
        <v>4079000</v>
      </c>
      <c r="N46" s="3" t="str">
        <f>RIGHT(Table1[[#This Row],[description]], LEN(Table1[[#This Row],[description]])-5)</f>
        <v>14D_Infiltration Vault Outwash Soil in ROW</v>
      </c>
      <c r="O46" s="3" t="str">
        <f>LEFT(Table1[[#This Row],[_drop_wqbe]],FIND("_",Table1[[#This Row],[_drop_wqbe]])-1)</f>
        <v>14D</v>
      </c>
      <c r="P46" s="3" t="str">
        <f>_xlfn.XLOOKUP(Table1[[#This Row],[code]],'BMP Crosswalk'!B:B,'BMP Crosswalk'!F:F,"--",0,1)</f>
        <v>Vault</v>
      </c>
      <c r="Q46" s="15">
        <f>Table1[[#This Row],[Total Direct Construction Cost (a)]]/Table1[[#This Row],[sizing_base_value]]</f>
        <v>1974.4809688581315</v>
      </c>
      <c r="R46" s="15">
        <f>Table1[[#This Row],[Total Indirect Non-Construction Cost ©]]/Table1[[#This Row],[sizing_base_value]]</f>
        <v>1447.9238754325258</v>
      </c>
      <c r="S46" s="15">
        <f>Table1[[#This Row],[Total Project Cost (d) (a)+(b)+©]]/Table1[[#This Row],[sizing_base_value]]</f>
        <v>3422.4048442906574</v>
      </c>
      <c r="T46" s="15">
        <f>Table1[[#This Row],[O&amp;M Costs (Annual) (e)]]/Table1[[#This Row],[sizing_base_value]]</f>
        <v>4.1522491349480966</v>
      </c>
    </row>
    <row r="47" spans="1:20" x14ac:dyDescent="0.2">
      <c r="A47" s="1" t="s">
        <v>89</v>
      </c>
      <c r="B47" s="1" t="s">
        <v>98</v>
      </c>
      <c r="C47" s="1" t="s">
        <v>246</v>
      </c>
      <c r="D47" s="1" t="s">
        <v>245</v>
      </c>
      <c r="E47" s="14">
        <v>1836</v>
      </c>
      <c r="F47" s="1" t="s">
        <v>91</v>
      </c>
      <c r="G47" s="1" t="s">
        <v>92</v>
      </c>
      <c r="H47" s="15">
        <v>2262300</v>
      </c>
      <c r="I47" s="15">
        <v>340082</v>
      </c>
      <c r="J47" s="15">
        <v>2161200</v>
      </c>
      <c r="K47" s="15">
        <v>4423500</v>
      </c>
      <c r="L47" s="15">
        <v>4800</v>
      </c>
      <c r="M47" s="15">
        <v>4546200</v>
      </c>
      <c r="N47" s="3" t="str">
        <f>RIGHT(Table1[[#This Row],[description]], LEN(Table1[[#This Row],[description]])-5)</f>
        <v>14E_Infiltration Vault Till Soil with Property Cost</v>
      </c>
      <c r="O47" s="3" t="str">
        <f>LEFT(Table1[[#This Row],[_drop_wqbe]],FIND("_",Table1[[#This Row],[_drop_wqbe]])-1)</f>
        <v>14E</v>
      </c>
      <c r="P47" s="3" t="str">
        <f>_xlfn.XLOOKUP(Table1[[#This Row],[code]],'BMP Crosswalk'!B:B,'BMP Crosswalk'!F:F,"--",0,1)</f>
        <v>Vault</v>
      </c>
      <c r="Q47" s="15">
        <f>Table1[[#This Row],[Total Direct Construction Cost (a)]]/Table1[[#This Row],[sizing_base_value]]</f>
        <v>1232.18954248366</v>
      </c>
      <c r="R47" s="15">
        <f>Table1[[#This Row],[Total Indirect Non-Construction Cost ©]]/Table1[[#This Row],[sizing_base_value]]</f>
        <v>1177.124183006536</v>
      </c>
      <c r="S47" s="15">
        <f>Table1[[#This Row],[Total Project Cost (d) (a)+(b)+©]]/Table1[[#This Row],[sizing_base_value]]</f>
        <v>2409.3137254901962</v>
      </c>
      <c r="T47" s="15">
        <f>Table1[[#This Row],[O&amp;M Costs (Annual) (e)]]/Table1[[#This Row],[sizing_base_value]]</f>
        <v>2.6143790849673203</v>
      </c>
    </row>
    <row r="48" spans="1:20" x14ac:dyDescent="0.2">
      <c r="A48" s="1" t="s">
        <v>89</v>
      </c>
      <c r="B48" s="1" t="s">
        <v>99</v>
      </c>
      <c r="C48" s="1" t="s">
        <v>246</v>
      </c>
      <c r="D48" s="1" t="s">
        <v>245</v>
      </c>
      <c r="E48" s="14">
        <v>1156</v>
      </c>
      <c r="F48" s="1" t="s">
        <v>94</v>
      </c>
      <c r="G48" s="1" t="s">
        <v>95</v>
      </c>
      <c r="H48" s="15">
        <v>1870200</v>
      </c>
      <c r="I48" s="15">
        <v>340082</v>
      </c>
      <c r="J48" s="15">
        <v>1863200</v>
      </c>
      <c r="K48" s="15">
        <v>3733400</v>
      </c>
      <c r="L48" s="15">
        <v>4800</v>
      </c>
      <c r="M48" s="15">
        <v>3856100</v>
      </c>
      <c r="N48" s="3" t="str">
        <f>RIGHT(Table1[[#This Row],[description]], LEN(Table1[[#This Row],[description]])-5)</f>
        <v>14F_Infiltration Vault Outwash Soil with Property Cost</v>
      </c>
      <c r="O48" s="3" t="str">
        <f>LEFT(Table1[[#This Row],[_drop_wqbe]],FIND("_",Table1[[#This Row],[_drop_wqbe]])-1)</f>
        <v>14F</v>
      </c>
      <c r="P48" s="3" t="str">
        <f>_xlfn.XLOOKUP(Table1[[#This Row],[code]],'BMP Crosswalk'!B:B,'BMP Crosswalk'!F:F,"--",0,1)</f>
        <v>Vault</v>
      </c>
      <c r="Q48" s="15">
        <f>Table1[[#This Row],[Total Direct Construction Cost (a)]]/Table1[[#This Row],[sizing_base_value]]</f>
        <v>1617.8200692041523</v>
      </c>
      <c r="R48" s="15">
        <f>Table1[[#This Row],[Total Indirect Non-Construction Cost ©]]/Table1[[#This Row],[sizing_base_value]]</f>
        <v>1611.7647058823529</v>
      </c>
      <c r="S48" s="15">
        <f>Table1[[#This Row],[Total Project Cost (d) (a)+(b)+©]]/Table1[[#This Row],[sizing_base_value]]</f>
        <v>3229.584775086505</v>
      </c>
      <c r="T48" s="15">
        <f>Table1[[#This Row],[O&amp;M Costs (Annual) (e)]]/Table1[[#This Row],[sizing_base_value]]</f>
        <v>4.1522491349480966</v>
      </c>
    </row>
    <row r="49" spans="1:20" x14ac:dyDescent="0.2">
      <c r="A49" s="1" t="s">
        <v>89</v>
      </c>
      <c r="B49" s="1" t="s">
        <v>100</v>
      </c>
      <c r="C49" s="1" t="s">
        <v>246</v>
      </c>
      <c r="D49" s="1" t="s">
        <v>245</v>
      </c>
      <c r="E49" s="14">
        <v>1156</v>
      </c>
      <c r="F49" s="1" t="s">
        <v>101</v>
      </c>
      <c r="G49" s="1" t="s">
        <v>51</v>
      </c>
      <c r="H49" s="15">
        <v>2211100</v>
      </c>
      <c r="I49" s="15">
        <v>0</v>
      </c>
      <c r="J49" s="15">
        <v>1621700</v>
      </c>
      <c r="K49" s="15">
        <v>3832800</v>
      </c>
      <c r="L49" s="15">
        <v>6600</v>
      </c>
      <c r="M49" s="15">
        <v>3992400</v>
      </c>
      <c r="N49" s="3" t="str">
        <f>RIGHT(Table1[[#This Row],[description]], LEN(Table1[[#This Row],[description]])-5)</f>
        <v>14G_Infiltration Vault Outwash Soil with High Rate Underground Filter System in ROW</v>
      </c>
      <c r="O49" s="3" t="str">
        <f>LEFT(Table1[[#This Row],[_drop_wqbe]],FIND("_",Table1[[#This Row],[_drop_wqbe]])-1)</f>
        <v>14G</v>
      </c>
      <c r="P49" s="3" t="str">
        <f>_xlfn.XLOOKUP(Table1[[#This Row],[code]],'BMP Crosswalk'!B:B,'BMP Crosswalk'!F:F,"--",0,1)</f>
        <v>Vault</v>
      </c>
      <c r="Q49" s="15">
        <f>Table1[[#This Row],[Total Direct Construction Cost (a)]]/Table1[[#This Row],[sizing_base_value]]</f>
        <v>1912.7162629757786</v>
      </c>
      <c r="R49" s="15">
        <f>Table1[[#This Row],[Total Indirect Non-Construction Cost ©]]/Table1[[#This Row],[sizing_base_value]]</f>
        <v>1402.8546712802768</v>
      </c>
      <c r="S49" s="15">
        <f>Table1[[#This Row],[Total Project Cost (d) (a)+(b)+©]]/Table1[[#This Row],[sizing_base_value]]</f>
        <v>3315.5709342560554</v>
      </c>
      <c r="T49" s="15">
        <f>Table1[[#This Row],[O&amp;M Costs (Annual) (e)]]/Table1[[#This Row],[sizing_base_value]]</f>
        <v>5.7093425605536332</v>
      </c>
    </row>
    <row r="50" spans="1:20" x14ac:dyDescent="0.2">
      <c r="A50" s="1" t="s">
        <v>89</v>
      </c>
      <c r="B50" s="1" t="s">
        <v>102</v>
      </c>
      <c r="C50" s="1" t="s">
        <v>246</v>
      </c>
      <c r="D50" s="1" t="s">
        <v>245</v>
      </c>
      <c r="E50" s="14">
        <v>1156</v>
      </c>
      <c r="F50" s="1" t="s">
        <v>101</v>
      </c>
      <c r="G50" s="1" t="s">
        <v>51</v>
      </c>
      <c r="H50" s="15">
        <v>2175500</v>
      </c>
      <c r="I50" s="15">
        <v>342013</v>
      </c>
      <c r="J50" s="15">
        <v>2040300</v>
      </c>
      <c r="K50" s="15">
        <v>4215800</v>
      </c>
      <c r="L50" s="15">
        <v>6600</v>
      </c>
      <c r="M50" s="15">
        <v>4375400</v>
      </c>
      <c r="N50" s="3" t="str">
        <f>RIGHT(Table1[[#This Row],[description]], LEN(Table1[[#This Row],[description]])-5)</f>
        <v>14H_Infiltration Vault Outwash Soil with High Rate Underground Filter System with Property Cost</v>
      </c>
      <c r="O50" s="3" t="str">
        <f>LEFT(Table1[[#This Row],[_drop_wqbe]],FIND("_",Table1[[#This Row],[_drop_wqbe]])-1)</f>
        <v>14H</v>
      </c>
      <c r="P50" s="3" t="str">
        <f>_xlfn.XLOOKUP(Table1[[#This Row],[code]],'BMP Crosswalk'!B:B,'BMP Crosswalk'!F:F,"--",0,1)</f>
        <v>--</v>
      </c>
      <c r="Q50" s="15">
        <f>Table1[[#This Row],[Total Direct Construction Cost (a)]]/Table1[[#This Row],[sizing_base_value]]</f>
        <v>1881.9204152249135</v>
      </c>
      <c r="R50" s="15">
        <f>Table1[[#This Row],[Total Indirect Non-Construction Cost ©]]/Table1[[#This Row],[sizing_base_value]]</f>
        <v>1764.9653979238753</v>
      </c>
      <c r="S50" s="15">
        <f>Table1[[#This Row],[Total Project Cost (d) (a)+(b)+©]]/Table1[[#This Row],[sizing_base_value]]</f>
        <v>3646.8858131487891</v>
      </c>
      <c r="T50" s="15">
        <f>Table1[[#This Row],[O&amp;M Costs (Annual) (e)]]/Table1[[#This Row],[sizing_base_value]]</f>
        <v>5.7093425605536332</v>
      </c>
    </row>
    <row r="51" spans="1:20" x14ac:dyDescent="0.2">
      <c r="A51" s="1" t="s">
        <v>89</v>
      </c>
      <c r="B51" s="1" t="s">
        <v>103</v>
      </c>
      <c r="C51" s="1" t="s">
        <v>246</v>
      </c>
      <c r="D51" s="1" t="s">
        <v>245</v>
      </c>
      <c r="E51" s="14">
        <v>1156</v>
      </c>
      <c r="F51" s="1" t="s">
        <v>101</v>
      </c>
      <c r="G51" s="1" t="s">
        <v>51</v>
      </c>
      <c r="H51" s="15">
        <v>2175500</v>
      </c>
      <c r="I51" s="15">
        <v>0</v>
      </c>
      <c r="J51" s="15">
        <v>1595700</v>
      </c>
      <c r="K51" s="15">
        <v>3771200</v>
      </c>
      <c r="L51" s="15">
        <v>6600</v>
      </c>
      <c r="M51" s="15">
        <v>3930800</v>
      </c>
      <c r="N51" s="3" t="str">
        <f>RIGHT(Table1[[#This Row],[description]], LEN(Table1[[#This Row],[description]])-5)</f>
        <v>14I_Infiltration Vault Outwash Soil with High Rate Underground Filter System on Property Cost</v>
      </c>
      <c r="O51" s="3" t="str">
        <f>LEFT(Table1[[#This Row],[_drop_wqbe]],FIND("_",Table1[[#This Row],[_drop_wqbe]])-1)</f>
        <v>14I</v>
      </c>
      <c r="P51" s="3" t="str">
        <f>_xlfn.XLOOKUP(Table1[[#This Row],[code]],'BMP Crosswalk'!B:B,'BMP Crosswalk'!F:F,"--",0,1)</f>
        <v>--</v>
      </c>
      <c r="Q51" s="15">
        <f>Table1[[#This Row],[Total Direct Construction Cost (a)]]/Table1[[#This Row],[sizing_base_value]]</f>
        <v>1881.9204152249135</v>
      </c>
      <c r="R51" s="15">
        <f>Table1[[#This Row],[Total Indirect Non-Construction Cost ©]]/Table1[[#This Row],[sizing_base_value]]</f>
        <v>1380.3633217993079</v>
      </c>
      <c r="S51" s="15">
        <f>Table1[[#This Row],[Total Project Cost (d) (a)+(b)+©]]/Table1[[#This Row],[sizing_base_value]]</f>
        <v>3262.2837370242214</v>
      </c>
      <c r="T51" s="15">
        <f>Table1[[#This Row],[O&amp;M Costs (Annual) (e)]]/Table1[[#This Row],[sizing_base_value]]</f>
        <v>5.7093425605536332</v>
      </c>
    </row>
    <row r="52" spans="1:20" x14ac:dyDescent="0.2">
      <c r="A52" s="1" t="s">
        <v>104</v>
      </c>
      <c r="B52" s="1" t="s">
        <v>105</v>
      </c>
      <c r="C52" s="1" t="s">
        <v>246</v>
      </c>
      <c r="D52" s="1" t="s">
        <v>245</v>
      </c>
      <c r="E52" s="14">
        <v>18</v>
      </c>
      <c r="F52" s="1" t="s">
        <v>106</v>
      </c>
      <c r="G52" s="1" t="s">
        <v>107</v>
      </c>
      <c r="H52" s="15">
        <v>21600</v>
      </c>
      <c r="I52" s="15">
        <v>0</v>
      </c>
      <c r="J52" s="15">
        <v>9000</v>
      </c>
      <c r="K52" s="15">
        <v>30600</v>
      </c>
      <c r="L52" s="15">
        <v>700</v>
      </c>
      <c r="M52" s="15">
        <v>46100</v>
      </c>
      <c r="N52" s="3" t="str">
        <f>RIGHT(Table1[[#This Row],[description]], LEN(Table1[[#This Row],[description]])-5)</f>
        <v>16_Cistern on Property</v>
      </c>
      <c r="O52" s="3" t="str">
        <f>LEFT(Table1[[#This Row],[_drop_wqbe]],FIND("_",Table1[[#This Row],[_drop_wqbe]])-1)</f>
        <v>16</v>
      </c>
      <c r="P52" s="3" t="str">
        <f>_xlfn.XLOOKUP(Table1[[#This Row],[code]],'BMP Crosswalk'!B:B,'BMP Crosswalk'!F:F,"--",0,1)</f>
        <v>Tank</v>
      </c>
      <c r="Q52" s="15">
        <f>Table1[[#This Row],[Total Direct Construction Cost (a)]]/Table1[[#This Row],[sizing_base_value]]</f>
        <v>1200</v>
      </c>
      <c r="R52" s="15">
        <f>Table1[[#This Row],[Total Indirect Non-Construction Cost ©]]/Table1[[#This Row],[sizing_base_value]]</f>
        <v>500</v>
      </c>
      <c r="S52" s="15">
        <f>Table1[[#This Row],[Total Project Cost (d) (a)+(b)+©]]/Table1[[#This Row],[sizing_base_value]]</f>
        <v>1700</v>
      </c>
      <c r="T52" s="15">
        <f>Table1[[#This Row],[O&amp;M Costs (Annual) (e)]]/Table1[[#This Row],[sizing_base_value]]</f>
        <v>38.888888888888886</v>
      </c>
    </row>
    <row r="53" spans="1:20" x14ac:dyDescent="0.2">
      <c r="A53" s="1" t="s">
        <v>108</v>
      </c>
      <c r="B53" s="1" t="s">
        <v>109</v>
      </c>
      <c r="C53" s="1" t="s">
        <v>246</v>
      </c>
      <c r="D53" s="1" t="s">
        <v>245</v>
      </c>
      <c r="E53" s="14">
        <v>553</v>
      </c>
      <c r="F53" s="1" t="s">
        <v>110</v>
      </c>
      <c r="G53" s="1" t="s">
        <v>111</v>
      </c>
      <c r="H53" s="15">
        <v>493900</v>
      </c>
      <c r="I53" s="15">
        <v>0</v>
      </c>
      <c r="J53" s="15">
        <v>375300</v>
      </c>
      <c r="K53" s="15">
        <v>869200</v>
      </c>
      <c r="L53" s="15">
        <v>2200</v>
      </c>
      <c r="M53" s="15">
        <v>929200</v>
      </c>
      <c r="N53" s="3" t="str">
        <f>RIGHT(Table1[[#This Row],[description]], LEN(Table1[[#This Row],[description]])-5)</f>
        <v>18A_ Wet Pond on Public Property</v>
      </c>
      <c r="O53" s="3" t="str">
        <f>LEFT(Table1[[#This Row],[_drop_wqbe]],FIND("_",Table1[[#This Row],[_drop_wqbe]])-1)</f>
        <v>18A</v>
      </c>
      <c r="P53" s="3" t="str">
        <f>_xlfn.XLOOKUP(Table1[[#This Row],[code]],'BMP Crosswalk'!B:B,'BMP Crosswalk'!F:F,"--",0,1)</f>
        <v>Pond</v>
      </c>
      <c r="Q53" s="15">
        <f>Table1[[#This Row],[Total Direct Construction Cost (a)]]/Table1[[#This Row],[sizing_base_value]]</f>
        <v>893.12839059674502</v>
      </c>
      <c r="R53" s="15">
        <f>Table1[[#This Row],[Total Indirect Non-Construction Cost ©]]/Table1[[#This Row],[sizing_base_value]]</f>
        <v>678.66184448462934</v>
      </c>
      <c r="S53" s="15">
        <f>Table1[[#This Row],[Total Project Cost (d) (a)+(b)+©]]/Table1[[#This Row],[sizing_base_value]]</f>
        <v>1571.7902350813742</v>
      </c>
      <c r="T53" s="15">
        <f>Table1[[#This Row],[O&amp;M Costs (Annual) (e)]]/Table1[[#This Row],[sizing_base_value]]</f>
        <v>3.9783001808318263</v>
      </c>
    </row>
    <row r="54" spans="1:20" x14ac:dyDescent="0.2">
      <c r="A54" s="1" t="s">
        <v>108</v>
      </c>
      <c r="B54" s="1" t="s">
        <v>112</v>
      </c>
      <c r="C54" s="1" t="s">
        <v>246</v>
      </c>
      <c r="D54" s="1" t="s">
        <v>245</v>
      </c>
      <c r="E54" s="14">
        <v>553</v>
      </c>
      <c r="F54" s="1" t="s">
        <v>110</v>
      </c>
      <c r="G54" s="1" t="s">
        <v>111</v>
      </c>
      <c r="H54" s="15">
        <v>493900</v>
      </c>
      <c r="I54" s="15">
        <v>615475</v>
      </c>
      <c r="J54" s="15">
        <v>1175400</v>
      </c>
      <c r="K54" s="15">
        <v>1669300</v>
      </c>
      <c r="L54" s="15">
        <v>2200</v>
      </c>
      <c r="M54" s="15">
        <v>1729300</v>
      </c>
      <c r="N54" s="3" t="str">
        <f>RIGHT(Table1[[#This Row],[description]], LEN(Table1[[#This Row],[description]])-5)</f>
        <v>18B_ Wet Pond with Property Cost</v>
      </c>
      <c r="O54" s="3" t="str">
        <f>LEFT(Table1[[#This Row],[_drop_wqbe]],FIND("_",Table1[[#This Row],[_drop_wqbe]])-1)</f>
        <v>18B</v>
      </c>
      <c r="P54" s="3" t="str">
        <f>_xlfn.XLOOKUP(Table1[[#This Row],[code]],'BMP Crosswalk'!B:B,'BMP Crosswalk'!F:F,"--",0,1)</f>
        <v>Pond</v>
      </c>
      <c r="Q54" s="15">
        <f>Table1[[#This Row],[Total Direct Construction Cost (a)]]/Table1[[#This Row],[sizing_base_value]]</f>
        <v>893.12839059674502</v>
      </c>
      <c r="R54" s="15">
        <f>Table1[[#This Row],[Total Indirect Non-Construction Cost ©]]/Table1[[#This Row],[sizing_base_value]]</f>
        <v>2125.497287522604</v>
      </c>
      <c r="S54" s="15">
        <f>Table1[[#This Row],[Total Project Cost (d) (a)+(b)+©]]/Table1[[#This Row],[sizing_base_value]]</f>
        <v>3018.6256781193492</v>
      </c>
      <c r="T54" s="15">
        <f>Table1[[#This Row],[O&amp;M Costs (Annual) (e)]]/Table1[[#This Row],[sizing_base_value]]</f>
        <v>3.9783001808318263</v>
      </c>
    </row>
    <row r="55" spans="1:20" x14ac:dyDescent="0.2">
      <c r="A55" s="1" t="s">
        <v>113</v>
      </c>
      <c r="B55" s="1" t="s">
        <v>114</v>
      </c>
      <c r="C55" s="1" t="s">
        <v>246</v>
      </c>
      <c r="D55" s="1" t="s">
        <v>245</v>
      </c>
      <c r="E55" s="14">
        <v>1615</v>
      </c>
      <c r="F55" s="1" t="s">
        <v>115</v>
      </c>
      <c r="G55" s="1" t="s">
        <v>116</v>
      </c>
      <c r="H55" s="15">
        <v>2981300</v>
      </c>
      <c r="I55" s="15">
        <v>0</v>
      </c>
      <c r="J55" s="15">
        <v>2265400</v>
      </c>
      <c r="K55" s="15">
        <v>5246700</v>
      </c>
      <c r="L55" s="15">
        <v>3100</v>
      </c>
      <c r="M55" s="15">
        <v>5333600</v>
      </c>
      <c r="N55" s="3" t="str">
        <f>RIGHT(Table1[[#This Row],[description]], LEN(Table1[[#This Row],[description]])-5)</f>
        <v>19A_ Wet Vault on Public Property</v>
      </c>
      <c r="O55" s="3" t="str">
        <f>LEFT(Table1[[#This Row],[_drop_wqbe]],FIND("_",Table1[[#This Row],[_drop_wqbe]])-1)</f>
        <v>19A</v>
      </c>
      <c r="P55" s="3" t="str">
        <f>_xlfn.XLOOKUP(Table1[[#This Row],[code]],'BMP Crosswalk'!B:B,'BMP Crosswalk'!F:F,"--",0,1)</f>
        <v>Vault</v>
      </c>
      <c r="Q55" s="15">
        <f>Table1[[#This Row],[Total Direct Construction Cost (a)]]/Table1[[#This Row],[sizing_base_value]]</f>
        <v>1846.0061919504644</v>
      </c>
      <c r="R55" s="15">
        <f>Table1[[#This Row],[Total Indirect Non-Construction Cost ©]]/Table1[[#This Row],[sizing_base_value]]</f>
        <v>1402.7244582043343</v>
      </c>
      <c r="S55" s="15">
        <f>Table1[[#This Row],[Total Project Cost (d) (a)+(b)+©]]/Table1[[#This Row],[sizing_base_value]]</f>
        <v>3248.7306501547987</v>
      </c>
      <c r="T55" s="15">
        <f>Table1[[#This Row],[O&amp;M Costs (Annual) (e)]]/Table1[[#This Row],[sizing_base_value]]</f>
        <v>1.9195046439628483</v>
      </c>
    </row>
    <row r="56" spans="1:20" x14ac:dyDescent="0.2">
      <c r="A56" s="1" t="s">
        <v>113</v>
      </c>
      <c r="B56" s="1" t="s">
        <v>117</v>
      </c>
      <c r="C56" s="1" t="s">
        <v>246</v>
      </c>
      <c r="D56" s="1" t="s">
        <v>245</v>
      </c>
      <c r="E56" s="14">
        <v>1615</v>
      </c>
      <c r="F56" s="1" t="s">
        <v>115</v>
      </c>
      <c r="G56" s="1" t="s">
        <v>116</v>
      </c>
      <c r="H56" s="15">
        <v>3342400</v>
      </c>
      <c r="I56" s="15">
        <v>0</v>
      </c>
      <c r="J56" s="15">
        <v>2447900</v>
      </c>
      <c r="K56" s="15">
        <v>5790300</v>
      </c>
      <c r="L56" s="15">
        <v>3100</v>
      </c>
      <c r="M56" s="15">
        <v>5877200</v>
      </c>
      <c r="N56" s="3" t="str">
        <f>RIGHT(Table1[[#This Row],[description]], LEN(Table1[[#This Row],[description]])-5)</f>
        <v>19B_ Wet Vault in ROW</v>
      </c>
      <c r="O56" s="3" t="str">
        <f>LEFT(Table1[[#This Row],[_drop_wqbe]],FIND("_",Table1[[#This Row],[_drop_wqbe]])-1)</f>
        <v>19B</v>
      </c>
      <c r="P56" s="3" t="str">
        <f>_xlfn.XLOOKUP(Table1[[#This Row],[code]],'BMP Crosswalk'!B:B,'BMP Crosswalk'!F:F,"--",0,1)</f>
        <v>Vault</v>
      </c>
      <c r="Q56" s="15">
        <f>Table1[[#This Row],[Total Direct Construction Cost (a)]]/Table1[[#This Row],[sizing_base_value]]</f>
        <v>2069.5975232198143</v>
      </c>
      <c r="R56" s="15">
        <f>Table1[[#This Row],[Total Indirect Non-Construction Cost ©]]/Table1[[#This Row],[sizing_base_value]]</f>
        <v>1515.7275541795666</v>
      </c>
      <c r="S56" s="15">
        <f>Table1[[#This Row],[Total Project Cost (d) (a)+(b)+©]]/Table1[[#This Row],[sizing_base_value]]</f>
        <v>3585.3250773993809</v>
      </c>
      <c r="T56" s="15">
        <f>Table1[[#This Row],[O&amp;M Costs (Annual) (e)]]/Table1[[#This Row],[sizing_base_value]]</f>
        <v>1.9195046439628483</v>
      </c>
    </row>
    <row r="57" spans="1:20" x14ac:dyDescent="0.2">
      <c r="A57" s="1" t="s">
        <v>113</v>
      </c>
      <c r="B57" s="1" t="s">
        <v>118</v>
      </c>
      <c r="C57" s="1" t="s">
        <v>246</v>
      </c>
      <c r="D57" s="1" t="s">
        <v>245</v>
      </c>
      <c r="E57" s="14">
        <v>1615</v>
      </c>
      <c r="F57" s="1" t="s">
        <v>115</v>
      </c>
      <c r="G57" s="1" t="s">
        <v>116</v>
      </c>
      <c r="H57" s="15">
        <v>2981300</v>
      </c>
      <c r="I57" s="15">
        <v>347803</v>
      </c>
      <c r="J57" s="15">
        <v>2717500</v>
      </c>
      <c r="K57" s="15">
        <v>5698800</v>
      </c>
      <c r="L57" s="15">
        <v>3100</v>
      </c>
      <c r="M57" s="15">
        <v>5785700</v>
      </c>
      <c r="N57" s="3" t="str">
        <f>RIGHT(Table1[[#This Row],[description]], LEN(Table1[[#This Row],[description]])-5)</f>
        <v>19C_ Wet Vault with Property Cost</v>
      </c>
      <c r="O57" s="3" t="str">
        <f>LEFT(Table1[[#This Row],[_drop_wqbe]],FIND("_",Table1[[#This Row],[_drop_wqbe]])-1)</f>
        <v>19C</v>
      </c>
      <c r="P57" s="3" t="str">
        <f>_xlfn.XLOOKUP(Table1[[#This Row],[code]],'BMP Crosswalk'!B:B,'BMP Crosswalk'!F:F,"--",0,1)</f>
        <v>Vault</v>
      </c>
      <c r="Q57" s="15">
        <f>Table1[[#This Row],[Total Direct Construction Cost (a)]]/Table1[[#This Row],[sizing_base_value]]</f>
        <v>1846.0061919504644</v>
      </c>
      <c r="R57" s="15">
        <f>Table1[[#This Row],[Total Indirect Non-Construction Cost ©]]/Table1[[#This Row],[sizing_base_value]]</f>
        <v>1682.6625386996905</v>
      </c>
      <c r="S57" s="15">
        <f>Table1[[#This Row],[Total Project Cost (d) (a)+(b)+©]]/Table1[[#This Row],[sizing_base_value]]</f>
        <v>3528.6687306501549</v>
      </c>
      <c r="T57" s="15">
        <f>Table1[[#This Row],[O&amp;M Costs (Annual) (e)]]/Table1[[#This Row],[sizing_base_value]]</f>
        <v>1.9195046439628483</v>
      </c>
    </row>
    <row r="58" spans="1:20" x14ac:dyDescent="0.2">
      <c r="A58" s="1" t="s">
        <v>119</v>
      </c>
      <c r="B58" s="1" t="s">
        <v>120</v>
      </c>
      <c r="C58" s="1" t="s">
        <v>246</v>
      </c>
      <c r="D58" s="1" t="s">
        <v>245</v>
      </c>
      <c r="E58" s="14">
        <v>503</v>
      </c>
      <c r="F58" s="1" t="s">
        <v>121</v>
      </c>
      <c r="G58" s="1" t="s">
        <v>122</v>
      </c>
      <c r="H58" s="15">
        <v>463100</v>
      </c>
      <c r="I58" s="15">
        <v>0</v>
      </c>
      <c r="J58" s="15">
        <v>351900</v>
      </c>
      <c r="K58" s="15">
        <v>815000</v>
      </c>
      <c r="L58" s="15">
        <v>2500</v>
      </c>
      <c r="M58" s="15">
        <v>880800</v>
      </c>
      <c r="N58" s="3" t="str">
        <f>RIGHT(Table1[[#This Row],[description]], LEN(Table1[[#This Row],[description]])-5)</f>
        <v>20A_ Stormwater Treatment Wetland on Public Property</v>
      </c>
      <c r="O58" s="3" t="str">
        <f>LEFT(Table1[[#This Row],[_drop_wqbe]],FIND("_",Table1[[#This Row],[_drop_wqbe]])-1)</f>
        <v>20A</v>
      </c>
      <c r="P58" s="3" t="str">
        <f>_xlfn.XLOOKUP(Table1[[#This Row],[code]],'BMP Crosswalk'!B:B,'BMP Crosswalk'!F:F,"--",0,1)</f>
        <v>Pond</v>
      </c>
      <c r="Q58" s="15">
        <f>Table1[[#This Row],[Total Direct Construction Cost (a)]]/Table1[[#This Row],[sizing_base_value]]</f>
        <v>920.67594433399597</v>
      </c>
      <c r="R58" s="15">
        <f>Table1[[#This Row],[Total Indirect Non-Construction Cost ©]]/Table1[[#This Row],[sizing_base_value]]</f>
        <v>699.60238568588466</v>
      </c>
      <c r="S58" s="15">
        <f>Table1[[#This Row],[Total Project Cost (d) (a)+(b)+©]]/Table1[[#This Row],[sizing_base_value]]</f>
        <v>1620.2783300198807</v>
      </c>
      <c r="T58" s="15">
        <f>Table1[[#This Row],[O&amp;M Costs (Annual) (e)]]/Table1[[#This Row],[sizing_base_value]]</f>
        <v>4.9701789264413518</v>
      </c>
    </row>
    <row r="59" spans="1:20" x14ac:dyDescent="0.2">
      <c r="A59" s="1" t="s">
        <v>119</v>
      </c>
      <c r="B59" s="1" t="s">
        <v>123</v>
      </c>
      <c r="C59" s="1" t="s">
        <v>246</v>
      </c>
      <c r="D59" s="1" t="s">
        <v>245</v>
      </c>
      <c r="E59" s="14">
        <v>503</v>
      </c>
      <c r="F59" s="1" t="s">
        <v>121</v>
      </c>
      <c r="G59" s="1" t="s">
        <v>122</v>
      </c>
      <c r="H59" s="15">
        <v>463100</v>
      </c>
      <c r="I59" s="15">
        <v>555554</v>
      </c>
      <c r="J59" s="15">
        <v>1074100</v>
      </c>
      <c r="K59" s="15">
        <v>1537200</v>
      </c>
      <c r="L59" s="15">
        <v>2500</v>
      </c>
      <c r="M59" s="15">
        <v>1603000</v>
      </c>
      <c r="N59" s="3" t="str">
        <f>RIGHT(Table1[[#This Row],[description]], LEN(Table1[[#This Row],[description]])-5)</f>
        <v>20B_ Stormwater Treatment Wetland with Property Cost</v>
      </c>
      <c r="O59" s="3" t="str">
        <f>LEFT(Table1[[#This Row],[_drop_wqbe]],FIND("_",Table1[[#This Row],[_drop_wqbe]])-1)</f>
        <v>20B</v>
      </c>
      <c r="P59" s="3" t="str">
        <f>_xlfn.XLOOKUP(Table1[[#This Row],[code]],'BMP Crosswalk'!B:B,'BMP Crosswalk'!F:F,"--",0,1)</f>
        <v>Pond</v>
      </c>
      <c r="Q59" s="15">
        <f>Table1[[#This Row],[Total Direct Construction Cost (a)]]/Table1[[#This Row],[sizing_base_value]]</f>
        <v>920.67594433399597</v>
      </c>
      <c r="R59" s="15">
        <f>Table1[[#This Row],[Total Indirect Non-Construction Cost ©]]/Table1[[#This Row],[sizing_base_value]]</f>
        <v>2135.3876739562625</v>
      </c>
      <c r="S59" s="15">
        <f>Table1[[#This Row],[Total Project Cost (d) (a)+(b)+©]]/Table1[[#This Row],[sizing_base_value]]</f>
        <v>3056.0636182902585</v>
      </c>
      <c r="T59" s="15">
        <f>Table1[[#This Row],[O&amp;M Costs (Annual) (e)]]/Table1[[#This Row],[sizing_base_value]]</f>
        <v>4.9701789264413518</v>
      </c>
    </row>
    <row r="60" spans="1:20" x14ac:dyDescent="0.2">
      <c r="A60" s="1" t="s">
        <v>124</v>
      </c>
      <c r="B60" s="1" t="s">
        <v>125</v>
      </c>
      <c r="C60" s="1" t="s">
        <v>246</v>
      </c>
      <c r="D60" s="1" t="s">
        <v>245</v>
      </c>
      <c r="E60" s="14">
        <v>16</v>
      </c>
      <c r="F60" s="1" t="s">
        <v>126</v>
      </c>
      <c r="G60" s="1" t="s">
        <v>127</v>
      </c>
      <c r="H60" s="15">
        <v>147500</v>
      </c>
      <c r="I60" s="15">
        <v>0</v>
      </c>
      <c r="J60" s="15">
        <v>60800</v>
      </c>
      <c r="K60" s="15">
        <v>208300</v>
      </c>
      <c r="L60" s="15">
        <v>2500</v>
      </c>
      <c r="M60" s="15">
        <v>262000</v>
      </c>
      <c r="N60" s="3" t="str">
        <f>RIGHT(Table1[[#This Row],[description]], LEN(Table1[[#This Row],[description]])-5)</f>
        <v>21A_High Rate Underground Filter in Urban ROW PCCP</v>
      </c>
      <c r="O60" s="3" t="str">
        <f>LEFT(Table1[[#This Row],[_drop_wqbe]],FIND("_",Table1[[#This Row],[_drop_wqbe]])-1)</f>
        <v>21A</v>
      </c>
      <c r="P60" s="3" t="str">
        <f>_xlfn.XLOOKUP(Table1[[#This Row],[code]],'BMP Crosswalk'!B:B,'BMP Crosswalk'!F:F,"--",0,1)</f>
        <v>Media Filter</v>
      </c>
      <c r="Q60" s="15">
        <f>Table1[[#This Row],[Total Direct Construction Cost (a)]]/Table1[[#This Row],[sizing_base_value]]</f>
        <v>9218.75</v>
      </c>
      <c r="R60" s="15">
        <f>Table1[[#This Row],[Total Indirect Non-Construction Cost ©]]/Table1[[#This Row],[sizing_base_value]]</f>
        <v>3800</v>
      </c>
      <c r="S60" s="15">
        <f>Table1[[#This Row],[Total Project Cost (d) (a)+(b)+©]]/Table1[[#This Row],[sizing_base_value]]</f>
        <v>13018.75</v>
      </c>
      <c r="T60" s="15">
        <f>Table1[[#This Row],[O&amp;M Costs (Annual) (e)]]/Table1[[#This Row],[sizing_base_value]]</f>
        <v>156.25</v>
      </c>
    </row>
    <row r="61" spans="1:20" x14ac:dyDescent="0.2">
      <c r="A61" s="1" t="s">
        <v>124</v>
      </c>
      <c r="B61" s="1" t="s">
        <v>128</v>
      </c>
      <c r="C61" s="1" t="s">
        <v>246</v>
      </c>
      <c r="D61" s="1" t="s">
        <v>245</v>
      </c>
      <c r="E61" s="14">
        <v>16</v>
      </c>
      <c r="F61" s="1" t="s">
        <v>126</v>
      </c>
      <c r="G61" s="1" t="s">
        <v>127</v>
      </c>
      <c r="H61" s="15">
        <v>108500</v>
      </c>
      <c r="I61" s="15">
        <v>0</v>
      </c>
      <c r="J61" s="15">
        <v>44800</v>
      </c>
      <c r="K61" s="15">
        <v>153300</v>
      </c>
      <c r="L61" s="15">
        <v>2500</v>
      </c>
      <c r="M61" s="15">
        <v>207000</v>
      </c>
      <c r="N61" s="3" t="str">
        <f>RIGHT(Table1[[#This Row],[description]], LEN(Table1[[#This Row],[description]])-5)</f>
        <v>21B_High Rate Underground Filter in Highway ROW PCCP</v>
      </c>
      <c r="O61" s="3" t="str">
        <f>LEFT(Table1[[#This Row],[_drop_wqbe]],FIND("_",Table1[[#This Row],[_drop_wqbe]])-1)</f>
        <v>21B</v>
      </c>
      <c r="P61" s="3" t="str">
        <f>_xlfn.XLOOKUP(Table1[[#This Row],[code]],'BMP Crosswalk'!B:B,'BMP Crosswalk'!F:F,"--",0,1)</f>
        <v>Media Filter</v>
      </c>
      <c r="Q61" s="15">
        <f>Table1[[#This Row],[Total Direct Construction Cost (a)]]/Table1[[#This Row],[sizing_base_value]]</f>
        <v>6781.25</v>
      </c>
      <c r="R61" s="15">
        <f>Table1[[#This Row],[Total Indirect Non-Construction Cost ©]]/Table1[[#This Row],[sizing_base_value]]</f>
        <v>2800</v>
      </c>
      <c r="S61" s="15">
        <f>Table1[[#This Row],[Total Project Cost (d) (a)+(b)+©]]/Table1[[#This Row],[sizing_base_value]]</f>
        <v>9581.25</v>
      </c>
      <c r="T61" s="15">
        <f>Table1[[#This Row],[O&amp;M Costs (Annual) (e)]]/Table1[[#This Row],[sizing_base_value]]</f>
        <v>156.25</v>
      </c>
    </row>
    <row r="62" spans="1:20" x14ac:dyDescent="0.2">
      <c r="A62" s="1" t="s">
        <v>124</v>
      </c>
      <c r="B62" s="1" t="s">
        <v>129</v>
      </c>
      <c r="C62" s="1" t="s">
        <v>246</v>
      </c>
      <c r="D62" s="1" t="s">
        <v>245</v>
      </c>
      <c r="E62" s="14">
        <v>16</v>
      </c>
      <c r="F62" s="1" t="s">
        <v>126</v>
      </c>
      <c r="G62" s="1" t="s">
        <v>127</v>
      </c>
      <c r="H62" s="15">
        <v>106000</v>
      </c>
      <c r="I62" s="15">
        <v>0</v>
      </c>
      <c r="J62" s="15">
        <v>43700</v>
      </c>
      <c r="K62" s="15">
        <v>149700</v>
      </c>
      <c r="L62" s="15">
        <v>2500</v>
      </c>
      <c r="M62" s="15">
        <v>203400</v>
      </c>
      <c r="N62" s="3" t="str">
        <f>RIGHT(Table1[[#This Row],[description]], LEN(Table1[[#This Row],[description]])-5)</f>
        <v>21C_High Rate Underground Filter in Urban ROW HMA</v>
      </c>
      <c r="O62" s="3" t="str">
        <f>LEFT(Table1[[#This Row],[_drop_wqbe]],FIND("_",Table1[[#This Row],[_drop_wqbe]])-1)</f>
        <v>21C</v>
      </c>
      <c r="P62" s="3" t="str">
        <f>_xlfn.XLOOKUP(Table1[[#This Row],[code]],'BMP Crosswalk'!B:B,'BMP Crosswalk'!F:F,"--",0,1)</f>
        <v>Media Filter</v>
      </c>
      <c r="Q62" s="15">
        <f>Table1[[#This Row],[Total Direct Construction Cost (a)]]/Table1[[#This Row],[sizing_base_value]]</f>
        <v>6625</v>
      </c>
      <c r="R62" s="15">
        <f>Table1[[#This Row],[Total Indirect Non-Construction Cost ©]]/Table1[[#This Row],[sizing_base_value]]</f>
        <v>2731.25</v>
      </c>
      <c r="S62" s="15">
        <f>Table1[[#This Row],[Total Project Cost (d) (a)+(b)+©]]/Table1[[#This Row],[sizing_base_value]]</f>
        <v>9356.25</v>
      </c>
      <c r="T62" s="15">
        <f>Table1[[#This Row],[O&amp;M Costs (Annual) (e)]]/Table1[[#This Row],[sizing_base_value]]</f>
        <v>156.25</v>
      </c>
    </row>
    <row r="63" spans="1:20" x14ac:dyDescent="0.2">
      <c r="A63" s="1" t="s">
        <v>124</v>
      </c>
      <c r="B63" s="1" t="s">
        <v>130</v>
      </c>
      <c r="C63" s="1" t="s">
        <v>246</v>
      </c>
      <c r="D63" s="1" t="s">
        <v>245</v>
      </c>
      <c r="E63" s="14">
        <v>16</v>
      </c>
      <c r="F63" s="1" t="s">
        <v>126</v>
      </c>
      <c r="G63" s="1" t="s">
        <v>127</v>
      </c>
      <c r="H63" s="15">
        <v>96100</v>
      </c>
      <c r="I63" s="15">
        <v>0</v>
      </c>
      <c r="J63" s="15">
        <v>39600</v>
      </c>
      <c r="K63" s="15">
        <v>135700</v>
      </c>
      <c r="L63" s="15">
        <v>2500</v>
      </c>
      <c r="M63" s="15">
        <v>189400</v>
      </c>
      <c r="N63" s="3" t="str">
        <f>RIGHT(Table1[[#This Row],[description]], LEN(Table1[[#This Row],[description]])-5)</f>
        <v>21D_High Rate Underground Filter in Highway ROW HMA</v>
      </c>
      <c r="O63" s="3" t="str">
        <f>LEFT(Table1[[#This Row],[_drop_wqbe]],FIND("_",Table1[[#This Row],[_drop_wqbe]])-1)</f>
        <v>21D</v>
      </c>
      <c r="P63" s="3" t="str">
        <f>_xlfn.XLOOKUP(Table1[[#This Row],[code]],'BMP Crosswalk'!B:B,'BMP Crosswalk'!F:F,"--",0,1)</f>
        <v>Media Filter</v>
      </c>
      <c r="Q63" s="15">
        <f>Table1[[#This Row],[Total Direct Construction Cost (a)]]/Table1[[#This Row],[sizing_base_value]]</f>
        <v>6006.25</v>
      </c>
      <c r="R63" s="15">
        <f>Table1[[#This Row],[Total Indirect Non-Construction Cost ©]]/Table1[[#This Row],[sizing_base_value]]</f>
        <v>2475</v>
      </c>
      <c r="S63" s="15">
        <f>Table1[[#This Row],[Total Project Cost (d) (a)+(b)+©]]/Table1[[#This Row],[sizing_base_value]]</f>
        <v>8481.25</v>
      </c>
      <c r="T63" s="15">
        <f>Table1[[#This Row],[O&amp;M Costs (Annual) (e)]]/Table1[[#This Row],[sizing_base_value]]</f>
        <v>156.25</v>
      </c>
    </row>
    <row r="64" spans="1:20" x14ac:dyDescent="0.2">
      <c r="A64" s="1" t="s">
        <v>124</v>
      </c>
      <c r="B64" s="1" t="s">
        <v>131</v>
      </c>
      <c r="C64" s="1" t="s">
        <v>246</v>
      </c>
      <c r="D64" s="1" t="s">
        <v>245</v>
      </c>
      <c r="E64" s="14">
        <v>16</v>
      </c>
      <c r="F64" s="1" t="s">
        <v>126</v>
      </c>
      <c r="G64" s="1" t="s">
        <v>127</v>
      </c>
      <c r="H64" s="15">
        <v>73300</v>
      </c>
      <c r="I64" s="15">
        <v>0</v>
      </c>
      <c r="J64" s="15">
        <v>30500</v>
      </c>
      <c r="K64" s="15">
        <v>103800</v>
      </c>
      <c r="L64" s="15">
        <v>2500</v>
      </c>
      <c r="M64" s="15">
        <v>157500</v>
      </c>
      <c r="N64" s="3" t="str">
        <f>RIGHT(Table1[[#This Row],[description]], LEN(Table1[[#This Row],[description]])-5)</f>
        <v>21E_High Rate Underground Filter on Public Property</v>
      </c>
      <c r="O64" s="3" t="str">
        <f>LEFT(Table1[[#This Row],[_drop_wqbe]],FIND("_",Table1[[#This Row],[_drop_wqbe]])-1)</f>
        <v>21E</v>
      </c>
      <c r="P64" s="3" t="str">
        <f>_xlfn.XLOOKUP(Table1[[#This Row],[code]],'BMP Crosswalk'!B:B,'BMP Crosswalk'!F:F,"--",0,1)</f>
        <v>Media Filter</v>
      </c>
      <c r="Q64" s="15">
        <f>Table1[[#This Row],[Total Direct Construction Cost (a)]]/Table1[[#This Row],[sizing_base_value]]</f>
        <v>4581.25</v>
      </c>
      <c r="R64" s="15">
        <f>Table1[[#This Row],[Total Indirect Non-Construction Cost ©]]/Table1[[#This Row],[sizing_base_value]]</f>
        <v>1906.25</v>
      </c>
      <c r="S64" s="15">
        <f>Table1[[#This Row],[Total Project Cost (d) (a)+(b)+©]]/Table1[[#This Row],[sizing_base_value]]</f>
        <v>6487.5</v>
      </c>
      <c r="T64" s="15">
        <f>Table1[[#This Row],[O&amp;M Costs (Annual) (e)]]/Table1[[#This Row],[sizing_base_value]]</f>
        <v>156.25</v>
      </c>
    </row>
    <row r="65" spans="1:20" x14ac:dyDescent="0.2">
      <c r="A65" s="1" t="s">
        <v>124</v>
      </c>
      <c r="B65" s="1" t="s">
        <v>132</v>
      </c>
      <c r="C65" s="1" t="s">
        <v>246</v>
      </c>
      <c r="D65" s="1" t="s">
        <v>245</v>
      </c>
      <c r="E65" s="14">
        <v>16</v>
      </c>
      <c r="F65" s="1" t="s">
        <v>126</v>
      </c>
      <c r="G65" s="1" t="s">
        <v>127</v>
      </c>
      <c r="H65" s="15">
        <v>73300</v>
      </c>
      <c r="I65" s="15">
        <v>1287</v>
      </c>
      <c r="J65" s="15">
        <v>32000</v>
      </c>
      <c r="K65" s="15">
        <v>105300</v>
      </c>
      <c r="L65" s="15">
        <v>2500</v>
      </c>
      <c r="M65" s="15">
        <v>159000</v>
      </c>
      <c r="N65" s="3" t="str">
        <f>RIGHT(Table1[[#This Row],[description]], LEN(Table1[[#This Row],[description]])-5)</f>
        <v>21F_High Rate Underground Filter with Property Cost</v>
      </c>
      <c r="O65" s="3" t="str">
        <f>LEFT(Table1[[#This Row],[_drop_wqbe]],FIND("_",Table1[[#This Row],[_drop_wqbe]])-1)</f>
        <v>21F</v>
      </c>
      <c r="P65" s="3" t="str">
        <f>_xlfn.XLOOKUP(Table1[[#This Row],[code]],'BMP Crosswalk'!B:B,'BMP Crosswalk'!F:F,"--",0,1)</f>
        <v>Media Filter</v>
      </c>
      <c r="Q65" s="15">
        <f>Table1[[#This Row],[Total Direct Construction Cost (a)]]/Table1[[#This Row],[sizing_base_value]]</f>
        <v>4581.25</v>
      </c>
      <c r="R65" s="15">
        <f>Table1[[#This Row],[Total Indirect Non-Construction Cost ©]]/Table1[[#This Row],[sizing_base_value]]</f>
        <v>2000</v>
      </c>
      <c r="S65" s="15">
        <f>Table1[[#This Row],[Total Project Cost (d) (a)+(b)+©]]/Table1[[#This Row],[sizing_base_value]]</f>
        <v>6581.25</v>
      </c>
      <c r="T65" s="15">
        <f>Table1[[#This Row],[O&amp;M Costs (Annual) (e)]]/Table1[[#This Row],[sizing_base_value]]</f>
        <v>156.25</v>
      </c>
    </row>
    <row r="66" spans="1:20" x14ac:dyDescent="0.2">
      <c r="A66" s="1" t="s">
        <v>133</v>
      </c>
      <c r="B66" s="1" t="s">
        <v>134</v>
      </c>
      <c r="C66" s="1" t="s">
        <v>246</v>
      </c>
      <c r="D66" s="1" t="s">
        <v>245</v>
      </c>
      <c r="E66" s="14">
        <v>5940</v>
      </c>
      <c r="F66" s="1" t="s">
        <v>135</v>
      </c>
      <c r="G66" s="1" t="s">
        <v>136</v>
      </c>
      <c r="H66" s="15">
        <v>4021600</v>
      </c>
      <c r="I66" s="15">
        <v>0</v>
      </c>
      <c r="J66" s="15">
        <v>3672400</v>
      </c>
      <c r="K66" s="15">
        <v>7694000</v>
      </c>
      <c r="L66" s="15">
        <v>11300</v>
      </c>
      <c r="M66" s="15">
        <v>8006000</v>
      </c>
      <c r="N66" s="3" t="str">
        <f>RIGHT(Table1[[#This Row],[description]], LEN(Table1[[#This Row],[description]])-5)</f>
        <v>22A_Regional Vegetated Media SW Facility on Public Property</v>
      </c>
      <c r="O66" s="3" t="str">
        <f>LEFT(Table1[[#This Row],[_drop_wqbe]],FIND("_",Table1[[#This Row],[_drop_wqbe]])-1)</f>
        <v>22A</v>
      </c>
      <c r="P66" s="3" t="str">
        <f>_xlfn.XLOOKUP(Table1[[#This Row],[code]],'BMP Crosswalk'!B:B,'BMP Crosswalk'!F:F,"--",0,1)</f>
        <v>Bioretention</v>
      </c>
      <c r="Q66" s="15">
        <f>Table1[[#This Row],[Total Direct Construction Cost (a)]]/Table1[[#This Row],[sizing_base_value]]</f>
        <v>677.03703703703707</v>
      </c>
      <c r="R66" s="15">
        <f>Table1[[#This Row],[Total Indirect Non-Construction Cost ©]]/Table1[[#This Row],[sizing_base_value]]</f>
        <v>618.2491582491582</v>
      </c>
      <c r="S66" s="15">
        <f>Table1[[#This Row],[Total Project Cost (d) (a)+(b)+©]]/Table1[[#This Row],[sizing_base_value]]</f>
        <v>1295.2861952861954</v>
      </c>
      <c r="T66" s="15">
        <f>Table1[[#This Row],[O&amp;M Costs (Annual) (e)]]/Table1[[#This Row],[sizing_base_value]]</f>
        <v>1.9023569023569022</v>
      </c>
    </row>
    <row r="67" spans="1:20" x14ac:dyDescent="0.2">
      <c r="A67" s="1" t="s">
        <v>133</v>
      </c>
      <c r="B67" s="1" t="s">
        <v>137</v>
      </c>
      <c r="C67" s="1" t="s">
        <v>246</v>
      </c>
      <c r="D67" s="1" t="s">
        <v>245</v>
      </c>
      <c r="E67" s="14">
        <v>5940</v>
      </c>
      <c r="F67" s="1" t="s">
        <v>135</v>
      </c>
      <c r="G67" s="1" t="s">
        <v>136</v>
      </c>
      <c r="H67" s="15">
        <v>4021600</v>
      </c>
      <c r="I67" s="15">
        <v>583580</v>
      </c>
      <c r="J67" s="15">
        <v>4431000</v>
      </c>
      <c r="K67" s="15">
        <v>8452600</v>
      </c>
      <c r="L67" s="15">
        <v>11300</v>
      </c>
      <c r="M67" s="15">
        <v>8764600</v>
      </c>
      <c r="N67" s="3" t="str">
        <f>RIGHT(Table1[[#This Row],[description]], LEN(Table1[[#This Row],[description]])-5)</f>
        <v>22B_Regional Vegetated Media SW Facility with Property Cost</v>
      </c>
      <c r="O67" s="3" t="str">
        <f>LEFT(Table1[[#This Row],[_drop_wqbe]],FIND("_",Table1[[#This Row],[_drop_wqbe]])-1)</f>
        <v>22B</v>
      </c>
      <c r="P67" s="3" t="str">
        <f>_xlfn.XLOOKUP(Table1[[#This Row],[code]],'BMP Crosswalk'!B:B,'BMP Crosswalk'!F:F,"--",0,1)</f>
        <v>Bioretention</v>
      </c>
      <c r="Q67" s="15">
        <f>Table1[[#This Row],[Total Direct Construction Cost (a)]]/Table1[[#This Row],[sizing_base_value]]</f>
        <v>677.03703703703707</v>
      </c>
      <c r="R67" s="15">
        <f>Table1[[#This Row],[Total Indirect Non-Construction Cost ©]]/Table1[[#This Row],[sizing_base_value]]</f>
        <v>745.95959595959596</v>
      </c>
      <c r="S67" s="15">
        <f>Table1[[#This Row],[Total Project Cost (d) (a)+(b)+©]]/Table1[[#This Row],[sizing_base_value]]</f>
        <v>1422.996632996633</v>
      </c>
      <c r="T67" s="15">
        <f>Table1[[#This Row],[O&amp;M Costs (Annual) (e)]]/Table1[[#This Row],[sizing_base_value]]</f>
        <v>1.9023569023569022</v>
      </c>
    </row>
    <row r="68" spans="1:20" x14ac:dyDescent="0.2">
      <c r="A68" s="1" t="s">
        <v>138</v>
      </c>
      <c r="B68" s="1" t="s">
        <v>139</v>
      </c>
      <c r="C68" s="1" t="s">
        <v>246</v>
      </c>
      <c r="D68" s="1" t="s">
        <v>245</v>
      </c>
      <c r="E68" s="14">
        <v>29600</v>
      </c>
      <c r="F68" s="1" t="s">
        <v>140</v>
      </c>
      <c r="G68" s="1" t="s">
        <v>141</v>
      </c>
      <c r="H68" s="15">
        <v>10224600</v>
      </c>
      <c r="I68" s="15">
        <v>0</v>
      </c>
      <c r="J68" s="15">
        <v>7769300</v>
      </c>
      <c r="K68" s="15">
        <v>17993900</v>
      </c>
      <c r="L68" s="15">
        <v>33300</v>
      </c>
      <c r="M68" s="15">
        <v>18700900</v>
      </c>
      <c r="N68" s="3" t="str">
        <f>RIGHT(Table1[[#This Row],[description]], LEN(Table1[[#This Row],[description]])-5)</f>
        <v>23_Sports Field and Park Detention</v>
      </c>
      <c r="O68" s="3" t="str">
        <f>LEFT(Table1[[#This Row],[_drop_wqbe]],FIND("_",Table1[[#This Row],[_drop_wqbe]])-1)</f>
        <v>23</v>
      </c>
      <c r="P68" s="3" t="str">
        <f>_xlfn.XLOOKUP(Table1[[#This Row],[code]],'BMP Crosswalk'!B:B,'BMP Crosswalk'!F:F,"--",0,1)</f>
        <v>Pond</v>
      </c>
      <c r="Q68" s="15">
        <f>Table1[[#This Row],[Total Direct Construction Cost (a)]]/Table1[[#This Row],[sizing_base_value]]</f>
        <v>345.42567567567568</v>
      </c>
      <c r="R68" s="15">
        <f>Table1[[#This Row],[Total Indirect Non-Construction Cost ©]]/Table1[[#This Row],[sizing_base_value]]</f>
        <v>262.47635135135135</v>
      </c>
      <c r="S68" s="15">
        <f>Table1[[#This Row],[Total Project Cost (d) (a)+(b)+©]]/Table1[[#This Row],[sizing_base_value]]</f>
        <v>607.90202702702697</v>
      </c>
      <c r="T68" s="15">
        <f>Table1[[#This Row],[O&amp;M Costs (Annual) (e)]]/Table1[[#This Row],[sizing_base_value]]</f>
        <v>1.125</v>
      </c>
    </row>
    <row r="69" spans="1:20" x14ac:dyDescent="0.2">
      <c r="A69" s="1" t="s">
        <v>142</v>
      </c>
      <c r="B69" s="1" t="s">
        <v>143</v>
      </c>
      <c r="C69" s="1" t="s">
        <v>246</v>
      </c>
      <c r="D69" s="1" t="s">
        <v>245</v>
      </c>
      <c r="E69" s="14">
        <v>1000</v>
      </c>
      <c r="F69" s="1" t="s">
        <v>144</v>
      </c>
      <c r="G69" s="1" t="s">
        <v>144</v>
      </c>
      <c r="H69" s="15">
        <v>82300</v>
      </c>
      <c r="I69" s="15">
        <v>0</v>
      </c>
      <c r="J69" s="15">
        <v>34200</v>
      </c>
      <c r="K69" s="15">
        <v>116500</v>
      </c>
      <c r="L69" s="15">
        <v>2600</v>
      </c>
      <c r="M69" s="15">
        <v>170900</v>
      </c>
      <c r="N69" s="3" t="str">
        <f>RIGHT(Table1[[#This Row],[description]], LEN(Table1[[#This Row],[description]])-5)</f>
        <v>24_Blue Roof</v>
      </c>
      <c r="O69" s="3" t="str">
        <f>LEFT(Table1[[#This Row],[_drop_wqbe]],FIND("_",Table1[[#This Row],[_drop_wqbe]])-1)</f>
        <v>24</v>
      </c>
      <c r="P69" s="3" t="str">
        <f>_xlfn.XLOOKUP(Table1[[#This Row],[code]],'BMP Crosswalk'!B:B,'BMP Crosswalk'!F:F,"--",0,1)</f>
        <v>Pond</v>
      </c>
      <c r="Q69" s="15">
        <f>Table1[[#This Row],[Total Direct Construction Cost (a)]]/Table1[[#This Row],[sizing_base_value]]</f>
        <v>82.3</v>
      </c>
      <c r="R69" s="15">
        <f>Table1[[#This Row],[Total Indirect Non-Construction Cost ©]]/Table1[[#This Row],[sizing_base_value]]</f>
        <v>34.200000000000003</v>
      </c>
      <c r="S69" s="15">
        <f>Table1[[#This Row],[Total Project Cost (d) (a)+(b)+©]]/Table1[[#This Row],[sizing_base_value]]</f>
        <v>116.5</v>
      </c>
      <c r="T69" s="15">
        <f>Table1[[#This Row],[O&amp;M Costs (Annual) (e)]]/Table1[[#This Row],[sizing_base_value]]</f>
        <v>2.6</v>
      </c>
    </row>
    <row r="70" spans="1:20" x14ac:dyDescent="0.2">
      <c r="A70" s="1" t="s">
        <v>145</v>
      </c>
      <c r="B70" s="1" t="s">
        <v>146</v>
      </c>
      <c r="C70" s="1" t="s">
        <v>246</v>
      </c>
      <c r="D70" s="1" t="s">
        <v>245</v>
      </c>
      <c r="E70" s="14">
        <v>500</v>
      </c>
      <c r="F70" s="1" t="s">
        <v>147</v>
      </c>
      <c r="G70" s="1" t="s">
        <v>147</v>
      </c>
      <c r="H70" s="15">
        <v>4200</v>
      </c>
      <c r="I70" s="15">
        <v>0</v>
      </c>
      <c r="J70" s="15">
        <v>1700</v>
      </c>
      <c r="K70" s="15">
        <v>5900</v>
      </c>
      <c r="L70" s="15">
        <v>300</v>
      </c>
      <c r="M70" s="15">
        <v>13400</v>
      </c>
      <c r="N70" s="3" t="str">
        <f>RIGHT(Table1[[#This Row],[description]], LEN(Table1[[#This Row],[description]])-5)</f>
        <v>25_Compost Amendment</v>
      </c>
      <c r="O70" s="3" t="str">
        <f>LEFT(Table1[[#This Row],[_drop_wqbe]],FIND("_",Table1[[#This Row],[_drop_wqbe]])-1)</f>
        <v>25</v>
      </c>
      <c r="P70" s="3" t="str">
        <f>_xlfn.XLOOKUP(Table1[[#This Row],[code]],'BMP Crosswalk'!B:B,'BMP Crosswalk'!F:F,"--",0,1)</f>
        <v>--</v>
      </c>
      <c r="Q70" s="15">
        <f>Table1[[#This Row],[Total Direct Construction Cost (a)]]/Table1[[#This Row],[sizing_base_value]]</f>
        <v>8.4</v>
      </c>
      <c r="R70" s="15">
        <f>Table1[[#This Row],[Total Indirect Non-Construction Cost ©]]/Table1[[#This Row],[sizing_base_value]]</f>
        <v>3.4</v>
      </c>
      <c r="S70" s="15">
        <f>Table1[[#This Row],[Total Project Cost (d) (a)+(b)+©]]/Table1[[#This Row],[sizing_base_value]]</f>
        <v>11.8</v>
      </c>
      <c r="T70" s="15">
        <f>Table1[[#This Row],[O&amp;M Costs (Annual) (e)]]/Table1[[#This Row],[sizing_base_value]]</f>
        <v>0.6</v>
      </c>
    </row>
    <row r="71" spans="1:20" x14ac:dyDescent="0.2">
      <c r="A71" s="1" t="s">
        <v>148</v>
      </c>
      <c r="B71" s="1" t="s">
        <v>149</v>
      </c>
      <c r="C71" s="1" t="s">
        <v>246</v>
      </c>
      <c r="D71" s="1" t="s">
        <v>245</v>
      </c>
      <c r="E71" s="14">
        <v>43560</v>
      </c>
      <c r="F71" s="1" t="s">
        <v>150</v>
      </c>
      <c r="G71" s="1" t="s">
        <v>150</v>
      </c>
      <c r="H71" s="15">
        <v>11075000</v>
      </c>
      <c r="I71" s="15">
        <v>0</v>
      </c>
      <c r="J71" s="15">
        <v>8415500</v>
      </c>
      <c r="K71" s="15">
        <v>19490500</v>
      </c>
      <c r="L71" s="15">
        <v>3300</v>
      </c>
      <c r="M71" s="15">
        <v>19577100</v>
      </c>
      <c r="N71" s="3" t="str">
        <f>RIGHT(Table1[[#This Row],[description]], LEN(Table1[[#This Row],[description]])-5)</f>
        <v>26A_Reforestation High Density Development - On Property</v>
      </c>
      <c r="O71" s="3" t="str">
        <f>LEFT(Table1[[#This Row],[_drop_wqbe]],FIND("_",Table1[[#This Row],[_drop_wqbe]])-1)</f>
        <v>26A</v>
      </c>
      <c r="P71" s="3" t="str">
        <f>_xlfn.XLOOKUP(Table1[[#This Row],[code]],'BMP Crosswalk'!B:B,'BMP Crosswalk'!F:F,"--",0,1)</f>
        <v>--</v>
      </c>
      <c r="Q71" s="15">
        <f>Table1[[#This Row],[Total Direct Construction Cost (a)]]/Table1[[#This Row],[sizing_base_value]]</f>
        <v>254.24701561065197</v>
      </c>
      <c r="R71" s="15">
        <f>Table1[[#This Row],[Total Indirect Non-Construction Cost ©]]/Table1[[#This Row],[sizing_base_value]]</f>
        <v>193.19329660238751</v>
      </c>
      <c r="S71" s="15">
        <f>Table1[[#This Row],[Total Project Cost (d) (a)+(b)+©]]/Table1[[#This Row],[sizing_base_value]]</f>
        <v>447.44031221303948</v>
      </c>
      <c r="T71" s="15">
        <f>Table1[[#This Row],[O&amp;M Costs (Annual) (e)]]/Table1[[#This Row],[sizing_base_value]]</f>
        <v>7.575757575757576E-2</v>
      </c>
    </row>
    <row r="72" spans="1:20" x14ac:dyDescent="0.2">
      <c r="A72" s="1" t="s">
        <v>148</v>
      </c>
      <c r="B72" s="1" t="s">
        <v>151</v>
      </c>
      <c r="C72" s="1" t="s">
        <v>246</v>
      </c>
      <c r="D72" s="1" t="s">
        <v>245</v>
      </c>
      <c r="E72" s="14">
        <v>43560</v>
      </c>
      <c r="F72" s="1" t="s">
        <v>150</v>
      </c>
      <c r="G72" s="1" t="s">
        <v>150</v>
      </c>
      <c r="H72" s="15">
        <v>11075000</v>
      </c>
      <c r="I72" s="15">
        <v>3503531</v>
      </c>
      <c r="J72" s="15">
        <v>12970100</v>
      </c>
      <c r="K72" s="15">
        <v>24045100</v>
      </c>
      <c r="L72" s="15">
        <v>3300</v>
      </c>
      <c r="M72" s="15">
        <v>24131700</v>
      </c>
      <c r="N72" s="3" t="str">
        <f>RIGHT(Table1[[#This Row],[description]], LEN(Table1[[#This Row],[description]])-5)</f>
        <v>6B_Reforestation High Density Development with Property Cost</v>
      </c>
      <c r="O72" s="3" t="str">
        <f>LEFT(Table1[[#This Row],[_drop_wqbe]],FIND("_",Table1[[#This Row],[_drop_wqbe]])-1)</f>
        <v>6B</v>
      </c>
      <c r="P72" s="3" t="str">
        <f>_xlfn.XLOOKUP(Table1[[#This Row],[code]],'BMP Crosswalk'!B:B,'BMP Crosswalk'!F:F,"--",0,1)</f>
        <v>--</v>
      </c>
      <c r="Q72" s="15">
        <f>Table1[[#This Row],[Total Direct Construction Cost (a)]]/Table1[[#This Row],[sizing_base_value]]</f>
        <v>254.24701561065197</v>
      </c>
      <c r="R72" s="15">
        <f>Table1[[#This Row],[Total Indirect Non-Construction Cost ©]]/Table1[[#This Row],[sizing_base_value]]</f>
        <v>297.75252525252523</v>
      </c>
      <c r="S72" s="15">
        <f>Table1[[#This Row],[Total Project Cost (d) (a)+(b)+©]]/Table1[[#This Row],[sizing_base_value]]</f>
        <v>551.99954086317723</v>
      </c>
      <c r="T72" s="15">
        <f>Table1[[#This Row],[O&amp;M Costs (Annual) (e)]]/Table1[[#This Row],[sizing_base_value]]</f>
        <v>7.575757575757576E-2</v>
      </c>
    </row>
    <row r="73" spans="1:20" x14ac:dyDescent="0.2">
      <c r="A73" s="1" t="s">
        <v>152</v>
      </c>
      <c r="B73" s="1" t="s">
        <v>153</v>
      </c>
      <c r="C73" s="1" t="s">
        <v>246</v>
      </c>
      <c r="D73" s="1" t="s">
        <v>245</v>
      </c>
      <c r="E73" s="14">
        <v>43560</v>
      </c>
      <c r="F73" s="1" t="s">
        <v>150</v>
      </c>
      <c r="G73" s="1" t="s">
        <v>150</v>
      </c>
      <c r="H73" s="15">
        <v>992900</v>
      </c>
      <c r="I73" s="15">
        <v>0</v>
      </c>
      <c r="J73" s="15">
        <v>754500</v>
      </c>
      <c r="K73" s="15">
        <v>1747400</v>
      </c>
      <c r="L73" s="15">
        <v>0</v>
      </c>
      <c r="M73" s="15">
        <v>1747400</v>
      </c>
      <c r="N73" s="3" t="str">
        <f>RIGHT(Table1[[#This Row],[description]], LEN(Table1[[#This Row],[description]])-5)</f>
        <v>26C_Reforestation Pervious Area on Property</v>
      </c>
      <c r="O73" s="3" t="str">
        <f>LEFT(Table1[[#This Row],[_drop_wqbe]],FIND("_",Table1[[#This Row],[_drop_wqbe]])-1)</f>
        <v>26C</v>
      </c>
      <c r="P73" s="3" t="str">
        <f>_xlfn.XLOOKUP(Table1[[#This Row],[code]],'BMP Crosswalk'!B:B,'BMP Crosswalk'!F:F,"--",0,1)</f>
        <v>--</v>
      </c>
      <c r="Q73" s="15">
        <f>Table1[[#This Row],[Total Direct Construction Cost (a)]]/Table1[[#This Row],[sizing_base_value]]</f>
        <v>22.79384756657484</v>
      </c>
      <c r="R73" s="15">
        <f>Table1[[#This Row],[Total Indirect Non-Construction Cost ©]]/Table1[[#This Row],[sizing_base_value]]</f>
        <v>17.320936639118457</v>
      </c>
      <c r="S73" s="15">
        <f>Table1[[#This Row],[Total Project Cost (d) (a)+(b)+©]]/Table1[[#This Row],[sizing_base_value]]</f>
        <v>40.114784205693297</v>
      </c>
      <c r="T73" s="15">
        <f>Table1[[#This Row],[O&amp;M Costs (Annual) (e)]]/Table1[[#This Row],[sizing_base_value]]</f>
        <v>0</v>
      </c>
    </row>
    <row r="74" spans="1:20" x14ac:dyDescent="0.2">
      <c r="A74" s="1" t="s">
        <v>152</v>
      </c>
      <c r="B74" s="1" t="s">
        <v>154</v>
      </c>
      <c r="C74" s="1" t="s">
        <v>246</v>
      </c>
      <c r="D74" s="1" t="s">
        <v>245</v>
      </c>
      <c r="E74" s="14">
        <v>43560</v>
      </c>
      <c r="F74" s="1" t="s">
        <v>150</v>
      </c>
      <c r="G74" s="1" t="s">
        <v>150</v>
      </c>
      <c r="H74" s="15">
        <v>992900</v>
      </c>
      <c r="I74" s="15">
        <v>3503531</v>
      </c>
      <c r="J74" s="15">
        <v>5309100</v>
      </c>
      <c r="K74" s="15">
        <v>6302000</v>
      </c>
      <c r="L74" s="15">
        <v>0</v>
      </c>
      <c r="M74" s="15">
        <v>6302000</v>
      </c>
      <c r="N74" s="3" t="str">
        <f>RIGHT(Table1[[#This Row],[description]], LEN(Table1[[#This Row],[description]])-5)</f>
        <v>26C_Reforestation Pervious Area with Property Cost</v>
      </c>
      <c r="O74" s="3" t="str">
        <f>LEFT(Table1[[#This Row],[_drop_wqbe]],FIND("_",Table1[[#This Row],[_drop_wqbe]])-1)</f>
        <v>26C</v>
      </c>
      <c r="P74" s="3" t="str">
        <f>_xlfn.XLOOKUP(Table1[[#This Row],[code]],'BMP Crosswalk'!B:B,'BMP Crosswalk'!F:F,"--",0,1)</f>
        <v>--</v>
      </c>
      <c r="Q74" s="15">
        <f>Table1[[#This Row],[Total Direct Construction Cost (a)]]/Table1[[#This Row],[sizing_base_value]]</f>
        <v>22.79384756657484</v>
      </c>
      <c r="R74" s="15">
        <f>Table1[[#This Row],[Total Indirect Non-Construction Cost ©]]/Table1[[#This Row],[sizing_base_value]]</f>
        <v>121.8801652892562</v>
      </c>
      <c r="S74" s="15">
        <f>Table1[[#This Row],[Total Project Cost (d) (a)+(b)+©]]/Table1[[#This Row],[sizing_base_value]]</f>
        <v>144.67401285583105</v>
      </c>
      <c r="T74" s="15">
        <f>Table1[[#This Row],[O&amp;M Costs (Annual) (e)]]/Table1[[#This Row],[sizing_base_value]]</f>
        <v>0</v>
      </c>
    </row>
  </sheetData>
  <phoneticPr fontId="8" type="noConversion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3CBF-C43F-4DDB-84B5-A2DAC8DB3D15}">
  <dimension ref="A1:G70"/>
  <sheetViews>
    <sheetView workbookViewId="0">
      <selection activeCell="C3" sqref="C3"/>
    </sheetView>
  </sheetViews>
  <sheetFormatPr defaultColWidth="14.6640625" defaultRowHeight="15.75" x14ac:dyDescent="0.25"/>
  <cols>
    <col min="1" max="1" width="76.5" style="9" customWidth="1"/>
    <col min="2" max="2" width="18" style="9" bestFit="1" customWidth="1"/>
    <col min="3" max="3" width="69" style="9" customWidth="1"/>
    <col min="4" max="4" width="44.5" style="9" hidden="1" customWidth="1"/>
    <col min="5" max="5" width="49.6640625" style="9" hidden="1" customWidth="1"/>
    <col min="6" max="6" width="67.5" style="9" customWidth="1"/>
    <col min="7" max="7" width="107.5" style="9" bestFit="1" customWidth="1"/>
    <col min="8" max="16384" width="14.6640625" style="9"/>
  </cols>
  <sheetData>
    <row r="1" spans="1:7" x14ac:dyDescent="0.25">
      <c r="A1" s="9" t="s">
        <v>159</v>
      </c>
      <c r="B1" s="9" t="s">
        <v>160</v>
      </c>
      <c r="C1" s="9" t="s">
        <v>161</v>
      </c>
      <c r="D1" s="9" t="s">
        <v>162</v>
      </c>
      <c r="E1" s="9" t="s">
        <v>163</v>
      </c>
      <c r="F1" s="9" t="s">
        <v>164</v>
      </c>
      <c r="G1" s="9" t="s">
        <v>165</v>
      </c>
    </row>
    <row r="2" spans="1:7" x14ac:dyDescent="0.25">
      <c r="A2" s="9" t="s">
        <v>166</v>
      </c>
      <c r="B2" s="9" t="str">
        <f>LEFT(Table4[[#This Row],[_drop_wqbe]],FIND("_",Table4[[#This Row],[_drop_wqbe]])-1)</f>
        <v>01</v>
      </c>
      <c r="C2" s="9" t="str">
        <f>RIGHT(Table4[[#This Row],[_drop_wqbe]],LEN(Table4[[#This Row],[_drop_wqbe]])-FIND("_",Table4[[#This Row],[_drop_wqbe]]))</f>
        <v>Rain Garden Installation on Property</v>
      </c>
      <c r="D2" s="9" t="s">
        <v>167</v>
      </c>
      <c r="E2" s="9" t="s">
        <v>168</v>
      </c>
      <c r="F2" s="9" t="s">
        <v>177</v>
      </c>
      <c r="G2" s="9" t="str">
        <f>RIGHT(Table4[[#This Row],[WQBE_Full_Description]], LEN(Table4[[#This Row],[WQBE_Full_Description]])-5)</f>
        <v>01_Rain Garden Installation on Property</v>
      </c>
    </row>
    <row r="3" spans="1:7" x14ac:dyDescent="0.25">
      <c r="A3" s="9" t="s">
        <v>170</v>
      </c>
      <c r="B3" s="9" t="str">
        <f>LEFT(Table4[[#This Row],[_drop_wqbe]],FIND("_",Table4[[#This Row],[_drop_wqbe]])-1)</f>
        <v>02A</v>
      </c>
      <c r="C3" s="9" t="str">
        <f>RIGHT(Table4[[#This Row],[_drop_wqbe]],LEN(Table4[[#This Row],[_drop_wqbe]])-FIND("_",Table4[[#This Row],[_drop_wqbe]]))</f>
        <v>Bioretention Planter on Property</v>
      </c>
      <c r="D3" s="9" t="s">
        <v>171</v>
      </c>
      <c r="E3" s="9" t="s">
        <v>168</v>
      </c>
      <c r="F3" s="9" t="s">
        <v>172</v>
      </c>
      <c r="G3" s="9" t="str">
        <f>RIGHT(Table4[[#This Row],[WQBE_Full_Description]], LEN(Table4[[#This Row],[WQBE_Full_Description]])-5)</f>
        <v>02A_Bioretention Planter on Property</v>
      </c>
    </row>
    <row r="4" spans="1:7" x14ac:dyDescent="0.25">
      <c r="A4" s="9" t="s">
        <v>173</v>
      </c>
      <c r="B4" s="9" t="str">
        <f>LEFT(Table4[[#This Row],[_drop_wqbe]],FIND("_",Table4[[#This Row],[_drop_wqbe]])-1)</f>
        <v>02B</v>
      </c>
      <c r="C4" s="9" t="str">
        <f>RIGHT(Table4[[#This Row],[_drop_wqbe]],LEN(Table4[[#This Row],[_drop_wqbe]])-FIND("_",Table4[[#This Row],[_drop_wqbe]]))</f>
        <v>Bioretention Planter in ROW</v>
      </c>
      <c r="D4" s="9" t="s">
        <v>171</v>
      </c>
      <c r="E4" s="9" t="s">
        <v>168</v>
      </c>
      <c r="F4" s="9" t="s">
        <v>172</v>
      </c>
      <c r="G4" s="9" t="str">
        <f>RIGHT(Table4[[#This Row],[WQBE_Full_Description]], LEN(Table4[[#This Row],[WQBE_Full_Description]])-5)</f>
        <v>02B_Bioretention Planter in ROW</v>
      </c>
    </row>
    <row r="5" spans="1:7" x14ac:dyDescent="0.25">
      <c r="A5" s="9" t="s">
        <v>174</v>
      </c>
      <c r="B5" s="9" t="str">
        <f>LEFT(Table4[[#This Row],[_drop_wqbe]],FIND("_",Table4[[#This Row],[_drop_wqbe]])-1)</f>
        <v>02C</v>
      </c>
      <c r="C5" s="9" t="str">
        <f>RIGHT(Table4[[#This Row],[_drop_wqbe]],LEN(Table4[[#This Row],[_drop_wqbe]])-FIND("_",Table4[[#This Row],[_drop_wqbe]]))</f>
        <v>Bioretention Planter with Property Cost</v>
      </c>
      <c r="D5" s="9" t="s">
        <v>171</v>
      </c>
      <c r="E5" s="9" t="s">
        <v>168</v>
      </c>
      <c r="F5" s="9" t="s">
        <v>172</v>
      </c>
      <c r="G5" s="9" t="str">
        <f>RIGHT(Table4[[#This Row],[WQBE_Full_Description]], LEN(Table4[[#This Row],[WQBE_Full_Description]])-5)</f>
        <v>02C_Bioretention Planter with Property Cost</v>
      </c>
    </row>
    <row r="6" spans="1:7" x14ac:dyDescent="0.25">
      <c r="A6" s="9" t="s">
        <v>175</v>
      </c>
      <c r="B6" s="9" t="str">
        <f>LEFT(Table4[[#This Row],[_drop_wqbe]],FIND("_",Table4[[#This Row],[_drop_wqbe]])-1)</f>
        <v>03A</v>
      </c>
      <c r="C6" s="9" t="str">
        <f>RIGHT(Table4[[#This Row],[_drop_wqbe]],LEN(Table4[[#This Row],[_drop_wqbe]])-FIND("_",Table4[[#This Row],[_drop_wqbe]]))</f>
        <v>Bioretention Underdrain on Property</v>
      </c>
      <c r="D6" s="9" t="s">
        <v>176</v>
      </c>
      <c r="E6" s="9" t="s">
        <v>168</v>
      </c>
      <c r="F6" s="9" t="s">
        <v>177</v>
      </c>
      <c r="G6" s="9" t="str">
        <f>RIGHT(Table4[[#This Row],[WQBE_Full_Description]], LEN(Table4[[#This Row],[WQBE_Full_Description]])-5)</f>
        <v>03A_Bioretention Underdrain on Property</v>
      </c>
    </row>
    <row r="7" spans="1:7" x14ac:dyDescent="0.25">
      <c r="A7" s="9" t="s">
        <v>178</v>
      </c>
      <c r="B7" s="9" t="str">
        <f>LEFT(Table4[[#This Row],[_drop_wqbe]],FIND("_",Table4[[#This Row],[_drop_wqbe]])-1)</f>
        <v>03Aa</v>
      </c>
      <c r="C7" s="9" t="str">
        <f>RIGHT(Table4[[#This Row],[_drop_wqbe]],LEN(Table4[[#This Row],[_drop_wqbe]])-FIND("_",Table4[[#This Row],[_drop_wqbe]]))</f>
        <v>Bioretention Underdrain with Property Cost</v>
      </c>
      <c r="D7" s="9" t="s">
        <v>176</v>
      </c>
      <c r="E7" s="9" t="s">
        <v>168</v>
      </c>
      <c r="F7" s="9" t="s">
        <v>177</v>
      </c>
      <c r="G7" s="9" t="str">
        <f>RIGHT(Table4[[#This Row],[WQBE_Full_Description]], LEN(Table4[[#This Row],[WQBE_Full_Description]])-5)</f>
        <v>03Aa_Bioretention Underdrain with Property Cost</v>
      </c>
    </row>
    <row r="8" spans="1:7" x14ac:dyDescent="0.25">
      <c r="A8" s="9" t="s">
        <v>179</v>
      </c>
      <c r="B8" s="9" t="str">
        <f>LEFT(Table4[[#This Row],[_drop_wqbe]],FIND("_",Table4[[#This Row],[_drop_wqbe]])-1)</f>
        <v>03B</v>
      </c>
      <c r="C8" s="9" t="str">
        <f>RIGHT(Table4[[#This Row],[_drop_wqbe]],LEN(Table4[[#This Row],[_drop_wqbe]])-FIND("_",Table4[[#This Row],[_drop_wqbe]]))</f>
        <v>Bioretention No Underdrain on Property</v>
      </c>
      <c r="D8" s="9" t="s">
        <v>176</v>
      </c>
      <c r="E8" s="9" t="s">
        <v>168</v>
      </c>
      <c r="F8" s="9" t="s">
        <v>177</v>
      </c>
      <c r="G8" s="9" t="str">
        <f>RIGHT(Table4[[#This Row],[WQBE_Full_Description]], LEN(Table4[[#This Row],[WQBE_Full_Description]])-5)</f>
        <v>03B_Bioretention No Underdrain on Property</v>
      </c>
    </row>
    <row r="9" spans="1:7" x14ac:dyDescent="0.25">
      <c r="A9" s="9" t="s">
        <v>180</v>
      </c>
      <c r="B9" s="9" t="str">
        <f>LEFT(Table4[[#This Row],[_drop_wqbe]],FIND("_",Table4[[#This Row],[_drop_wqbe]])-1)</f>
        <v>03Bb</v>
      </c>
      <c r="C9" s="9" t="str">
        <f>RIGHT(Table4[[#This Row],[_drop_wqbe]],LEN(Table4[[#This Row],[_drop_wqbe]])-FIND("_",Table4[[#This Row],[_drop_wqbe]]))</f>
        <v>Bioretention No Underdrain with Property Cost</v>
      </c>
      <c r="D9" s="9" t="s">
        <v>176</v>
      </c>
      <c r="E9" s="9" t="s">
        <v>168</v>
      </c>
      <c r="F9" s="9" t="s">
        <v>177</v>
      </c>
      <c r="G9" s="9" t="str">
        <f>RIGHT(Table4[[#This Row],[WQBE_Full_Description]], LEN(Table4[[#This Row],[WQBE_Full_Description]])-5)</f>
        <v>03Bb_Bioretention No Underdrain with Property Cost</v>
      </c>
    </row>
    <row r="10" spans="1:7" x14ac:dyDescent="0.25">
      <c r="A10" s="9" t="s">
        <v>181</v>
      </c>
      <c r="B10" s="9" t="str">
        <f>LEFT(Table4[[#This Row],[_drop_wqbe]],FIND("_",Table4[[#This Row],[_drop_wqbe]])-1)</f>
        <v>03C</v>
      </c>
      <c r="C10" s="9" t="str">
        <f>RIGHT(Table4[[#This Row],[_drop_wqbe]],LEN(Table4[[#This Row],[_drop_wqbe]])-FIND("_",Table4[[#This Row],[_drop_wqbe]]))</f>
        <v>Bioretention Underdrain in ROW</v>
      </c>
      <c r="D10" s="9" t="s">
        <v>176</v>
      </c>
      <c r="E10" s="9" t="s">
        <v>168</v>
      </c>
      <c r="F10" s="9" t="s">
        <v>177</v>
      </c>
      <c r="G10" s="9" t="str">
        <f>RIGHT(Table4[[#This Row],[WQBE_Full_Description]], LEN(Table4[[#This Row],[WQBE_Full_Description]])-5)</f>
        <v>03C_Bioretention Underdrain in ROW</v>
      </c>
    </row>
    <row r="11" spans="1:7" x14ac:dyDescent="0.25">
      <c r="A11" s="9" t="s">
        <v>182</v>
      </c>
      <c r="B11" s="9" t="str">
        <f>LEFT(Table4[[#This Row],[_drop_wqbe]],FIND("_",Table4[[#This Row],[_drop_wqbe]])-1)</f>
        <v>03D</v>
      </c>
      <c r="C11" s="9" t="str">
        <f>RIGHT(Table4[[#This Row],[_drop_wqbe]],LEN(Table4[[#This Row],[_drop_wqbe]])-FIND("_",Table4[[#This Row],[_drop_wqbe]]))</f>
        <v>Bioretention No Underdrain in ROW</v>
      </c>
      <c r="D11" s="9" t="s">
        <v>176</v>
      </c>
      <c r="E11" s="9" t="s">
        <v>168</v>
      </c>
      <c r="F11" s="9" t="s">
        <v>177</v>
      </c>
      <c r="G11" s="9" t="str">
        <f>RIGHT(Table4[[#This Row],[WQBE_Full_Description]], LEN(Table4[[#This Row],[WQBE_Full_Description]])-5)</f>
        <v>03D_Bioretention No Underdrain in ROW</v>
      </c>
    </row>
    <row r="12" spans="1:7" x14ac:dyDescent="0.25">
      <c r="A12" s="9" t="s">
        <v>183</v>
      </c>
      <c r="B12" s="9" t="str">
        <f>LEFT(Table4[[#This Row],[_drop_wqbe]],FIND("_",Table4[[#This Row],[_drop_wqbe]])-1)</f>
        <v>04A</v>
      </c>
      <c r="C12" s="9" t="str">
        <f>RIGHT(Table4[[#This Row],[_drop_wqbe]],LEN(Table4[[#This Row],[_drop_wqbe]])-FIND("_",Table4[[#This Row],[_drop_wqbe]]))</f>
        <v>Bioswale in ROW</v>
      </c>
      <c r="D12" s="9" t="s">
        <v>184</v>
      </c>
      <c r="E12" s="9" t="s">
        <v>168</v>
      </c>
      <c r="F12" s="9" t="s">
        <v>185</v>
      </c>
      <c r="G12" s="9" t="str">
        <f>RIGHT(Table4[[#This Row],[WQBE_Full_Description]], LEN(Table4[[#This Row],[WQBE_Full_Description]])-5)</f>
        <v>04A_Bioswale in ROW</v>
      </c>
    </row>
    <row r="13" spans="1:7" x14ac:dyDescent="0.25">
      <c r="A13" s="9" t="s">
        <v>186</v>
      </c>
      <c r="B13" s="9" t="str">
        <f>LEFT(Table4[[#This Row],[_drop_wqbe]],FIND("_",Table4[[#This Row],[_drop_wqbe]])-1)</f>
        <v>04B</v>
      </c>
      <c r="C13" s="9" t="str">
        <f>RIGHT(Table4[[#This Row],[_drop_wqbe]],LEN(Table4[[#This Row],[_drop_wqbe]])-FIND("_",Table4[[#This Row],[_drop_wqbe]]))</f>
        <v>Bioswale on Public Property</v>
      </c>
      <c r="D13" s="9" t="s">
        <v>184</v>
      </c>
      <c r="E13" s="9" t="s">
        <v>168</v>
      </c>
      <c r="F13" s="9" t="s">
        <v>185</v>
      </c>
      <c r="G13" s="9" t="str">
        <f>RIGHT(Table4[[#This Row],[WQBE_Full_Description]], LEN(Table4[[#This Row],[WQBE_Full_Description]])-5)</f>
        <v>04B_Bioswale on Public Property</v>
      </c>
    </row>
    <row r="14" spans="1:7" x14ac:dyDescent="0.25">
      <c r="A14" s="9" t="s">
        <v>187</v>
      </c>
      <c r="B14" s="9" t="str">
        <f>LEFT(Table4[[#This Row],[_drop_wqbe]],FIND("_",Table4[[#This Row],[_drop_wqbe]])-1)</f>
        <v>04C</v>
      </c>
      <c r="C14" s="9" t="str">
        <f>RIGHT(Table4[[#This Row],[_drop_wqbe]],LEN(Table4[[#This Row],[_drop_wqbe]])-FIND("_",Table4[[#This Row],[_drop_wqbe]]))</f>
        <v>Bioswale with Property Cost</v>
      </c>
      <c r="D14" s="9" t="s">
        <v>184</v>
      </c>
      <c r="E14" s="9" t="s">
        <v>168</v>
      </c>
      <c r="F14" s="9" t="s">
        <v>185</v>
      </c>
      <c r="G14" s="9" t="str">
        <f>RIGHT(Table4[[#This Row],[WQBE_Full_Description]], LEN(Table4[[#This Row],[WQBE_Full_Description]])-5)</f>
        <v>04C_Bioswale with Property Cost</v>
      </c>
    </row>
    <row r="15" spans="1:7" x14ac:dyDescent="0.25">
      <c r="A15" s="9" t="s">
        <v>188</v>
      </c>
      <c r="B15" s="9" t="str">
        <f>LEFT(Table4[[#This Row],[_drop_wqbe]],FIND("_",Table4[[#This Row],[_drop_wqbe]])-1)</f>
        <v>05A</v>
      </c>
      <c r="C15" s="9" t="str">
        <f>RIGHT(Table4[[#This Row],[_drop_wqbe]],LEN(Table4[[#This Row],[_drop_wqbe]])-FIND("_",Table4[[#This Row],[_drop_wqbe]]))</f>
        <v>Media Filter Drain Underdrain</v>
      </c>
      <c r="D15" s="9" t="s">
        <v>189</v>
      </c>
      <c r="E15" s="9" t="s">
        <v>168</v>
      </c>
      <c r="F15" s="9" t="s">
        <v>190</v>
      </c>
      <c r="G15" s="9" t="str">
        <f>RIGHT(Table4[[#This Row],[WQBE_Full_Description]], LEN(Table4[[#This Row],[WQBE_Full_Description]])-5)</f>
        <v>05A_Media Filter Drain Underdrain</v>
      </c>
    </row>
    <row r="16" spans="1:7" x14ac:dyDescent="0.25">
      <c r="A16" s="9" t="s">
        <v>191</v>
      </c>
      <c r="B16" s="9" t="str">
        <f>LEFT(Table4[[#This Row],[_drop_wqbe]],FIND("_",Table4[[#This Row],[_drop_wqbe]])-1)</f>
        <v>05B</v>
      </c>
      <c r="C16" s="9" t="str">
        <f>RIGHT(Table4[[#This Row],[_drop_wqbe]],LEN(Table4[[#This Row],[_drop_wqbe]])-FIND("_",Table4[[#This Row],[_drop_wqbe]]))</f>
        <v>Media Filter Drain No Underdrain</v>
      </c>
      <c r="D16" s="9" t="s">
        <v>189</v>
      </c>
      <c r="E16" s="9" t="s">
        <v>168</v>
      </c>
      <c r="F16" s="9" t="s">
        <v>190</v>
      </c>
      <c r="G16" s="9" t="str">
        <f>RIGHT(Table4[[#This Row],[WQBE_Full_Description]], LEN(Table4[[#This Row],[WQBE_Full_Description]])-5)</f>
        <v>05B_Media Filter Drain No Underdrain</v>
      </c>
    </row>
    <row r="17" spans="1:7" x14ac:dyDescent="0.25">
      <c r="A17" s="9" t="s">
        <v>192</v>
      </c>
      <c r="B17" s="9" t="str">
        <f>LEFT(Table4[[#This Row],[_drop_wqbe]],FIND("_",Table4[[#This Row],[_drop_wqbe]])-1)</f>
        <v>06</v>
      </c>
      <c r="C17" s="9" t="str">
        <f>RIGHT(Table4[[#This Row],[_drop_wqbe]],LEN(Table4[[#This Row],[_drop_wqbe]])-FIND("_",Table4[[#This Row],[_drop_wqbe]]))</f>
        <v>Drywell on Property</v>
      </c>
      <c r="D17" s="9" t="s">
        <v>193</v>
      </c>
      <c r="E17" s="9" t="s">
        <v>168</v>
      </c>
      <c r="F17" s="9" t="s">
        <v>169</v>
      </c>
      <c r="G17" s="9" t="str">
        <f>RIGHT(Table4[[#This Row],[WQBE_Full_Description]], LEN(Table4[[#This Row],[WQBE_Full_Description]])-5)</f>
        <v>06_Drywell on Property</v>
      </c>
    </row>
    <row r="18" spans="1:7" x14ac:dyDescent="0.25">
      <c r="A18" s="9" t="s">
        <v>194</v>
      </c>
      <c r="B18" s="9" t="str">
        <f>LEFT(Table4[[#This Row],[_drop_wqbe]],FIND("_",Table4[[#This Row],[_drop_wqbe]])-1)</f>
        <v>06B</v>
      </c>
      <c r="C18" s="9" t="str">
        <f>RIGHT(Table4[[#This Row],[_drop_wqbe]],LEN(Table4[[#This Row],[_drop_wqbe]])-FIND("_",Table4[[#This Row],[_drop_wqbe]]))</f>
        <v>Drywell with Bioretention Planter on Property</v>
      </c>
      <c r="D18" s="9" t="s">
        <v>193</v>
      </c>
      <c r="E18" s="9" t="s">
        <v>168</v>
      </c>
      <c r="F18" s="9" t="s">
        <v>169</v>
      </c>
      <c r="G18" s="9" t="str">
        <f>RIGHT(Table4[[#This Row],[WQBE_Full_Description]], LEN(Table4[[#This Row],[WQBE_Full_Description]])-5)</f>
        <v>06B_Drywell with Bioretention Planter on Property</v>
      </c>
    </row>
    <row r="19" spans="1:7" x14ac:dyDescent="0.25">
      <c r="A19" s="9" t="s">
        <v>195</v>
      </c>
      <c r="B19" s="9" t="str">
        <f>LEFT(Table4[[#This Row],[_drop_wqbe]],FIND("_",Table4[[#This Row],[_drop_wqbe]])-1)</f>
        <v>07A</v>
      </c>
      <c r="C19" s="9" t="str">
        <f>RIGHT(Table4[[#This Row],[_drop_wqbe]],LEN(Table4[[#This Row],[_drop_wqbe]])-FIND("_",Table4[[#This Row],[_drop_wqbe]]))</f>
        <v>Deep UIC Well on Property</v>
      </c>
      <c r="D19" s="9" t="s">
        <v>196</v>
      </c>
      <c r="E19" s="9" t="s">
        <v>168</v>
      </c>
      <c r="F19" s="9" t="s">
        <v>169</v>
      </c>
      <c r="G19" s="9" t="str">
        <f>RIGHT(Table4[[#This Row],[WQBE_Full_Description]], LEN(Table4[[#This Row],[WQBE_Full_Description]])-5)</f>
        <v>07A_Deep UIC Well on Property</v>
      </c>
    </row>
    <row r="20" spans="1:7" x14ac:dyDescent="0.25">
      <c r="A20" s="9" t="s">
        <v>197</v>
      </c>
      <c r="B20" s="9" t="str">
        <f>LEFT(Table4[[#This Row],[_drop_wqbe]],FIND("_",Table4[[#This Row],[_drop_wqbe]])-1)</f>
        <v>07B</v>
      </c>
      <c r="C20" s="9" t="str">
        <f>RIGHT(Table4[[#This Row],[_drop_wqbe]],LEN(Table4[[#This Row],[_drop_wqbe]])-FIND("_",Table4[[#This Row],[_drop_wqbe]]))</f>
        <v>Deep UIC Well in ROW</v>
      </c>
      <c r="D20" s="9" t="s">
        <v>196</v>
      </c>
      <c r="E20" s="9" t="s">
        <v>168</v>
      </c>
      <c r="F20" s="9" t="s">
        <v>169</v>
      </c>
      <c r="G20" s="9" t="str">
        <f>RIGHT(Table4[[#This Row],[WQBE_Full_Description]], LEN(Table4[[#This Row],[WQBE_Full_Description]])-5)</f>
        <v>07B_Deep UIC Well in ROW</v>
      </c>
    </row>
    <row r="21" spans="1:7" x14ac:dyDescent="0.25">
      <c r="A21" s="9" t="s">
        <v>198</v>
      </c>
      <c r="B21" s="9" t="str">
        <f>LEFT(Table4[[#This Row],[_drop_wqbe]],FIND("_",Table4[[#This Row],[_drop_wqbe]])-1)</f>
        <v>07C</v>
      </c>
      <c r="C21" s="9" t="str">
        <f>RIGHT(Table4[[#This Row],[_drop_wqbe]],LEN(Table4[[#This Row],[_drop_wqbe]])-FIND("_",Table4[[#This Row],[_drop_wqbe]]))</f>
        <v>Deep UIC Well with Property Cost</v>
      </c>
      <c r="D21" s="9" t="s">
        <v>196</v>
      </c>
      <c r="E21" s="9" t="s">
        <v>168</v>
      </c>
      <c r="F21" s="9" t="s">
        <v>169</v>
      </c>
      <c r="G21" s="9" t="str">
        <f>RIGHT(Table4[[#This Row],[WQBE_Full_Description]], LEN(Table4[[#This Row],[WQBE_Full_Description]])-5)</f>
        <v>07C_Deep UIC Well with Property Cost</v>
      </c>
    </row>
    <row r="22" spans="1:7" x14ac:dyDescent="0.25">
      <c r="A22" s="9" t="s">
        <v>199</v>
      </c>
      <c r="B22" s="9" t="str">
        <f>LEFT(Table4[[#This Row],[_drop_wqbe]],FIND("_",Table4[[#This Row],[_drop_wqbe]])-1)</f>
        <v>07D</v>
      </c>
      <c r="C22" s="9" t="str">
        <f>RIGHT(Table4[[#This Row],[_drop_wqbe]],LEN(Table4[[#This Row],[_drop_wqbe]])-FIND("_",Table4[[#This Row],[_drop_wqbe]]))</f>
        <v>Deep UIC Well with Filter in ROW</v>
      </c>
      <c r="D22" s="9" t="s">
        <v>196</v>
      </c>
      <c r="E22" s="9" t="s">
        <v>168</v>
      </c>
      <c r="F22" s="9" t="s">
        <v>169</v>
      </c>
      <c r="G22" s="9" t="str">
        <f>RIGHT(Table4[[#This Row],[WQBE_Full_Description]], LEN(Table4[[#This Row],[WQBE_Full_Description]])-5)</f>
        <v>07D_Deep UIC Well with Filter in ROW</v>
      </c>
    </row>
    <row r="23" spans="1:7" x14ac:dyDescent="0.25">
      <c r="A23" s="9" t="s">
        <v>200</v>
      </c>
      <c r="B23" s="9" t="str">
        <f>LEFT(Table4[[#This Row],[_drop_wqbe]],FIND("_",Table4[[#This Row],[_drop_wqbe]])-1)</f>
        <v>07E</v>
      </c>
      <c r="C23" s="9" t="str">
        <f>RIGHT(Table4[[#This Row],[_drop_wqbe]],LEN(Table4[[#This Row],[_drop_wqbe]])-FIND("_",Table4[[#This Row],[_drop_wqbe]]))</f>
        <v>Deep UIC Well with Bioretention Planter in ROW</v>
      </c>
      <c r="D23" s="9" t="s">
        <v>196</v>
      </c>
      <c r="E23" s="9" t="s">
        <v>168</v>
      </c>
      <c r="F23" s="9" t="s">
        <v>169</v>
      </c>
      <c r="G23" s="9" t="str">
        <f>RIGHT(Table4[[#This Row],[WQBE_Full_Description]], LEN(Table4[[#This Row],[WQBE_Full_Description]])-5)</f>
        <v>07E_Deep UIC Well with Bioretention Planter in ROW</v>
      </c>
    </row>
    <row r="24" spans="1:7" x14ac:dyDescent="0.25">
      <c r="A24" s="9" t="s">
        <v>201</v>
      </c>
      <c r="B24" s="9" t="str">
        <f>LEFT(Table4[[#This Row],[_drop_wqbe]],FIND("_",Table4[[#This Row],[_drop_wqbe]])-1)</f>
        <v>07F</v>
      </c>
      <c r="C24" s="9" t="str">
        <f>RIGHT(Table4[[#This Row],[_drop_wqbe]],LEN(Table4[[#This Row],[_drop_wqbe]])-FIND("_",Table4[[#This Row],[_drop_wqbe]]))</f>
        <v>Deep UIC Well with Bioretention Planter on Property</v>
      </c>
      <c r="D24" s="9" t="s">
        <v>196</v>
      </c>
      <c r="E24" s="9" t="s">
        <v>168</v>
      </c>
      <c r="F24" s="9" t="s">
        <v>169</v>
      </c>
      <c r="G24" s="9" t="str">
        <f>RIGHT(Table4[[#This Row],[WQBE_Full_Description]], LEN(Table4[[#This Row],[WQBE_Full_Description]])-5)</f>
        <v>07F_Deep UIC Well with Bioretention Planter on Property</v>
      </c>
    </row>
    <row r="25" spans="1:7" x14ac:dyDescent="0.25">
      <c r="A25" s="9" t="s">
        <v>202</v>
      </c>
      <c r="B25" s="9" t="str">
        <f>LEFT(Table4[[#This Row],[_drop_wqbe]],FIND("_",Table4[[#This Row],[_drop_wqbe]])-1)</f>
        <v>08A</v>
      </c>
      <c r="C25" s="9" t="str">
        <f>RIGHT(Table4[[#This Row],[_drop_wqbe]],LEN(Table4[[#This Row],[_drop_wqbe]])-FIND("_",Table4[[#This Row],[_drop_wqbe]]))</f>
        <v>Pervious Concrete Sidewalk (no sand layer)</v>
      </c>
      <c r="D25" s="9" t="s">
        <v>203</v>
      </c>
      <c r="E25" s="9" t="s">
        <v>168</v>
      </c>
      <c r="F25" s="9" t="s">
        <v>204</v>
      </c>
      <c r="G25" s="9" t="str">
        <f>RIGHT(Table4[[#This Row],[WQBE_Full_Description]], LEN(Table4[[#This Row],[WQBE_Full_Description]])-5)</f>
        <v>08A_Pervious Concrete Sidewalk (no sand layer)</v>
      </c>
    </row>
    <row r="26" spans="1:7" x14ac:dyDescent="0.25">
      <c r="A26" s="9" t="s">
        <v>205</v>
      </c>
      <c r="B26" s="9" t="str">
        <f>LEFT(Table4[[#This Row],[_drop_wqbe]],FIND("_",Table4[[#This Row],[_drop_wqbe]])-1)</f>
        <v>08B</v>
      </c>
      <c r="C26" s="9" t="str">
        <f>RIGHT(Table4[[#This Row],[_drop_wqbe]],LEN(Table4[[#This Row],[_drop_wqbe]])-FIND("_",Table4[[#This Row],[_drop_wqbe]]))</f>
        <v>Porous Asphalt Driveway (with sand layer)</v>
      </c>
      <c r="D26" s="9" t="s">
        <v>203</v>
      </c>
      <c r="E26" s="9" t="s">
        <v>168</v>
      </c>
      <c r="F26" s="9" t="s">
        <v>204</v>
      </c>
      <c r="G26" s="9" t="str">
        <f>RIGHT(Table4[[#This Row],[WQBE_Full_Description]], LEN(Table4[[#This Row],[WQBE_Full_Description]])-5)</f>
        <v>08B_Porous Asphalt Driveway (with sand layer)</v>
      </c>
    </row>
    <row r="27" spans="1:7" x14ac:dyDescent="0.25">
      <c r="A27" s="9" t="s">
        <v>206</v>
      </c>
      <c r="B27" s="9" t="str">
        <f>LEFT(Table4[[#This Row],[_drop_wqbe]],FIND("_",Table4[[#This Row],[_drop_wqbe]])-1)</f>
        <v>08C</v>
      </c>
      <c r="C27" s="9" t="str">
        <f>RIGHT(Table4[[#This Row],[_drop_wqbe]],LEN(Table4[[#This Row],[_drop_wqbe]])-FIND("_",Table4[[#This Row],[_drop_wqbe]]))</f>
        <v>Permeable Paver Driveway (with sand layer)</v>
      </c>
      <c r="D27" s="9" t="s">
        <v>203</v>
      </c>
      <c r="E27" s="9" t="s">
        <v>168</v>
      </c>
      <c r="F27" s="9" t="s">
        <v>204</v>
      </c>
      <c r="G27" s="9" t="str">
        <f>RIGHT(Table4[[#This Row],[WQBE_Full_Description]], LEN(Table4[[#This Row],[WQBE_Full_Description]])-5)</f>
        <v>08C_Permeable Paver Driveway (with sand layer)</v>
      </c>
    </row>
    <row r="28" spans="1:7" x14ac:dyDescent="0.25">
      <c r="A28" s="9" t="s">
        <v>207</v>
      </c>
      <c r="B28" s="9" t="str">
        <f>LEFT(Table4[[#This Row],[_drop_wqbe]],FIND("_",Table4[[#This Row],[_drop_wqbe]])-1)</f>
        <v>08D</v>
      </c>
      <c r="C28" s="9" t="str">
        <f>RIGHT(Table4[[#This Row],[_drop_wqbe]],LEN(Table4[[#This Row],[_drop_wqbe]])-FIND("_",Table4[[#This Row],[_drop_wqbe]]))</f>
        <v>Permeable Paver Plaza (no sand layer)</v>
      </c>
      <c r="D28" s="9" t="s">
        <v>203</v>
      </c>
      <c r="E28" s="9" t="s">
        <v>168</v>
      </c>
      <c r="F28" s="9" t="s">
        <v>204</v>
      </c>
      <c r="G28" s="9" t="str">
        <f>RIGHT(Table4[[#This Row],[WQBE_Full_Description]], LEN(Table4[[#This Row],[WQBE_Full_Description]])-5)</f>
        <v>08D_Permeable Paver Plaza (no sand layer)</v>
      </c>
    </row>
    <row r="29" spans="1:7" x14ac:dyDescent="0.25">
      <c r="A29" s="9" t="s">
        <v>208</v>
      </c>
      <c r="B29" s="9" t="str">
        <f>LEFT(Table4[[#This Row],[_drop_wqbe]],FIND("_",Table4[[#This Row],[_drop_wqbe]])-1)</f>
        <v>11A</v>
      </c>
      <c r="C29" s="9" t="str">
        <f>RIGHT(Table4[[#This Row],[_drop_wqbe]],LEN(Table4[[#This Row],[_drop_wqbe]])-FIND("_",Table4[[#This Row],[_drop_wqbe]]))</f>
        <v>Detention Vault on Public Property</v>
      </c>
      <c r="D29" s="9" t="s">
        <v>209</v>
      </c>
      <c r="E29" s="9" t="s">
        <v>210</v>
      </c>
      <c r="F29" s="9" t="s">
        <v>211</v>
      </c>
      <c r="G29" s="9" t="str">
        <f>RIGHT(Table4[[#This Row],[WQBE_Full_Description]], LEN(Table4[[#This Row],[WQBE_Full_Description]])-5)</f>
        <v>11A_Detention Vault on Public Property</v>
      </c>
    </row>
    <row r="30" spans="1:7" x14ac:dyDescent="0.25">
      <c r="A30" s="9" t="s">
        <v>212</v>
      </c>
      <c r="B30" s="9" t="str">
        <f>LEFT(Table4[[#This Row],[_drop_wqbe]],FIND("_",Table4[[#This Row],[_drop_wqbe]])-1)</f>
        <v>11B</v>
      </c>
      <c r="C30" s="9" t="str">
        <f>RIGHT(Table4[[#This Row],[_drop_wqbe]],LEN(Table4[[#This Row],[_drop_wqbe]])-FIND("_",Table4[[#This Row],[_drop_wqbe]]))</f>
        <v>Detention Vault in ROW</v>
      </c>
      <c r="D30" s="9" t="s">
        <v>209</v>
      </c>
      <c r="E30" s="9" t="s">
        <v>210</v>
      </c>
      <c r="F30" s="9" t="s">
        <v>211</v>
      </c>
      <c r="G30" s="9" t="str">
        <f>RIGHT(Table4[[#This Row],[WQBE_Full_Description]], LEN(Table4[[#This Row],[WQBE_Full_Description]])-5)</f>
        <v>11B_Detention Vault in ROW</v>
      </c>
    </row>
    <row r="31" spans="1:7" x14ac:dyDescent="0.25">
      <c r="A31" s="9" t="s">
        <v>213</v>
      </c>
      <c r="B31" s="9" t="str">
        <f>LEFT(Table4[[#This Row],[_drop_wqbe]],FIND("_",Table4[[#This Row],[_drop_wqbe]])-1)</f>
        <v>11C</v>
      </c>
      <c r="C31" s="9" t="str">
        <f>RIGHT(Table4[[#This Row],[_drop_wqbe]],LEN(Table4[[#This Row],[_drop_wqbe]])-FIND("_",Table4[[#This Row],[_drop_wqbe]]))</f>
        <v>Detention Vault with Property Cost</v>
      </c>
      <c r="D31" s="9" t="s">
        <v>209</v>
      </c>
      <c r="E31" s="9" t="s">
        <v>210</v>
      </c>
      <c r="F31" s="9" t="s">
        <v>211</v>
      </c>
      <c r="G31" s="9" t="str">
        <f>RIGHT(Table4[[#This Row],[WQBE_Full_Description]], LEN(Table4[[#This Row],[WQBE_Full_Description]])-5)</f>
        <v>11C_Detention Vault with Property Cost</v>
      </c>
    </row>
    <row r="32" spans="1:7" x14ac:dyDescent="0.25">
      <c r="A32" s="9" t="s">
        <v>214</v>
      </c>
      <c r="B32" s="9" t="str">
        <f>LEFT(Table4[[#This Row],[_drop_wqbe]],FIND("_",Table4[[#This Row],[_drop_wqbe]])-1)</f>
        <v>12A</v>
      </c>
      <c r="C32" s="9" t="str">
        <f>RIGHT(Table4[[#This Row],[_drop_wqbe]],LEN(Table4[[#This Row],[_drop_wqbe]])-FIND("_",Table4[[#This Row],[_drop_wqbe]]))</f>
        <v>Detention Pond on Public Property</v>
      </c>
      <c r="D32" s="9" t="s">
        <v>215</v>
      </c>
      <c r="E32" s="9" t="s">
        <v>210</v>
      </c>
      <c r="F32" s="9" t="s">
        <v>219</v>
      </c>
      <c r="G32" s="9" t="str">
        <f>RIGHT(Table4[[#This Row],[WQBE_Full_Description]], LEN(Table4[[#This Row],[WQBE_Full_Description]])-5)</f>
        <v>12A_Detention Pond on Public Property</v>
      </c>
    </row>
    <row r="33" spans="1:7" x14ac:dyDescent="0.25">
      <c r="A33" s="9" t="s">
        <v>216</v>
      </c>
      <c r="B33" s="9" t="str">
        <f>LEFT(Table4[[#This Row],[_drop_wqbe]],FIND("_",Table4[[#This Row],[_drop_wqbe]])-1)</f>
        <v>12B</v>
      </c>
      <c r="C33" s="9" t="str">
        <f>RIGHT(Table4[[#This Row],[_drop_wqbe]],LEN(Table4[[#This Row],[_drop_wqbe]])-FIND("_",Table4[[#This Row],[_drop_wqbe]]))</f>
        <v>Detention Pond with Property Cost</v>
      </c>
      <c r="D33" s="9" t="s">
        <v>215</v>
      </c>
      <c r="E33" s="9" t="s">
        <v>210</v>
      </c>
      <c r="F33" s="9" t="s">
        <v>219</v>
      </c>
      <c r="G33" s="9" t="str">
        <f>RIGHT(Table4[[#This Row],[WQBE_Full_Description]], LEN(Table4[[#This Row],[WQBE_Full_Description]])-5)</f>
        <v>12B_Detention Pond with Property Cost</v>
      </c>
    </row>
    <row r="34" spans="1:7" x14ac:dyDescent="0.25">
      <c r="A34" s="9" t="s">
        <v>217</v>
      </c>
      <c r="B34" s="9" t="str">
        <f>LEFT(Table4[[#This Row],[_drop_wqbe]],FIND("_",Table4[[#This Row],[_drop_wqbe]])-1)</f>
        <v>13A</v>
      </c>
      <c r="C34" s="9" t="str">
        <f>RIGHT(Table4[[#This Row],[_drop_wqbe]],LEN(Table4[[#This Row],[_drop_wqbe]])-FIND("_",Table4[[#This Row],[_drop_wqbe]]))</f>
        <v>Infiltration Pond Till Soil on Public Property</v>
      </c>
      <c r="D34" s="9" t="s">
        <v>218</v>
      </c>
      <c r="E34" s="9" t="s">
        <v>210</v>
      </c>
      <c r="F34" s="9" t="s">
        <v>219</v>
      </c>
      <c r="G34" s="9" t="str">
        <f>RIGHT(Table4[[#This Row],[WQBE_Full_Description]], LEN(Table4[[#This Row],[WQBE_Full_Description]])-5)</f>
        <v>13A_Infiltration Pond Till Soil on Public Property</v>
      </c>
    </row>
    <row r="35" spans="1:7" x14ac:dyDescent="0.25">
      <c r="A35" s="9" t="s">
        <v>220</v>
      </c>
      <c r="B35" s="9" t="str">
        <f>LEFT(Table4[[#This Row],[_drop_wqbe]],FIND("_",Table4[[#This Row],[_drop_wqbe]])-1)</f>
        <v>13B</v>
      </c>
      <c r="C35" s="9" t="str">
        <f>RIGHT(Table4[[#This Row],[_drop_wqbe]],LEN(Table4[[#This Row],[_drop_wqbe]])-FIND("_",Table4[[#This Row],[_drop_wqbe]]))</f>
        <v>Infiltration Pond Outwash Soil on Public Property</v>
      </c>
      <c r="D35" s="9" t="s">
        <v>218</v>
      </c>
      <c r="E35" s="9" t="s">
        <v>210</v>
      </c>
      <c r="F35" s="9" t="s">
        <v>219</v>
      </c>
      <c r="G35" s="9" t="str">
        <f>RIGHT(Table4[[#This Row],[WQBE_Full_Description]], LEN(Table4[[#This Row],[WQBE_Full_Description]])-5)</f>
        <v>13B_Infiltration Pond Outwash Soil on Public Property</v>
      </c>
    </row>
    <row r="36" spans="1:7" x14ac:dyDescent="0.25">
      <c r="A36" s="9" t="s">
        <v>221</v>
      </c>
      <c r="B36" s="9" t="str">
        <f>LEFT(Table4[[#This Row],[_drop_wqbe]],FIND("_",Table4[[#This Row],[_drop_wqbe]])-1)</f>
        <v>13C</v>
      </c>
      <c r="C36" s="9" t="str">
        <f>RIGHT(Table4[[#This Row],[_drop_wqbe]],LEN(Table4[[#This Row],[_drop_wqbe]])-FIND("_",Table4[[#This Row],[_drop_wqbe]]))</f>
        <v>Infiltration Pond Till Soil with Property Cost</v>
      </c>
      <c r="D36" s="9" t="s">
        <v>218</v>
      </c>
      <c r="E36" s="9" t="s">
        <v>210</v>
      </c>
      <c r="F36" s="9" t="s">
        <v>219</v>
      </c>
      <c r="G36" s="9" t="str">
        <f>RIGHT(Table4[[#This Row],[WQBE_Full_Description]], LEN(Table4[[#This Row],[WQBE_Full_Description]])-5)</f>
        <v>13C_Infiltration Pond Till Soil with Property Cost</v>
      </c>
    </row>
    <row r="37" spans="1:7" x14ac:dyDescent="0.25">
      <c r="A37" s="9" t="s">
        <v>222</v>
      </c>
      <c r="B37" s="9" t="str">
        <f>LEFT(Table4[[#This Row],[_drop_wqbe]],FIND("_",Table4[[#This Row],[_drop_wqbe]])-1)</f>
        <v>13D</v>
      </c>
      <c r="C37" s="9" t="str">
        <f>RIGHT(Table4[[#This Row],[_drop_wqbe]],LEN(Table4[[#This Row],[_drop_wqbe]])-FIND("_",Table4[[#This Row],[_drop_wqbe]]))</f>
        <v>Infiltration Pond Outwash Soil with Property Cost</v>
      </c>
      <c r="D37" s="9" t="s">
        <v>218</v>
      </c>
      <c r="E37" s="9" t="s">
        <v>210</v>
      </c>
      <c r="F37" s="9" t="s">
        <v>219</v>
      </c>
      <c r="G37" s="9" t="str">
        <f>RIGHT(Table4[[#This Row],[WQBE_Full_Description]], LEN(Table4[[#This Row],[WQBE_Full_Description]])-5)</f>
        <v>13D_Infiltration Pond Outwash Soil with Property Cost</v>
      </c>
    </row>
    <row r="38" spans="1:7" x14ac:dyDescent="0.25">
      <c r="A38" s="9" t="s">
        <v>223</v>
      </c>
      <c r="B38" s="9" t="str">
        <f>LEFT(Table4[[#This Row],[_drop_wqbe]],FIND("_",Table4[[#This Row],[_drop_wqbe]])-1)</f>
        <v>13E</v>
      </c>
      <c r="C38" s="9" t="str">
        <f>RIGHT(Table4[[#This Row],[_drop_wqbe]],LEN(Table4[[#This Row],[_drop_wqbe]])-FIND("_",Table4[[#This Row],[_drop_wqbe]]))</f>
        <v>Infiltration Pond Outwash Soil with High Rate Underground Filter System on Public Property</v>
      </c>
      <c r="D38" s="9" t="s">
        <v>218</v>
      </c>
      <c r="E38" s="9" t="s">
        <v>210</v>
      </c>
      <c r="F38" s="9" t="s">
        <v>219</v>
      </c>
      <c r="G38" s="9" t="str">
        <f>RIGHT(Table4[[#This Row],[WQBE_Full_Description]], LEN(Table4[[#This Row],[WQBE_Full_Description]])-5)</f>
        <v>13E_Infiltration Pond Outwash Soil with High Rate Underground Filter System on Public Property</v>
      </c>
    </row>
    <row r="39" spans="1:7" x14ac:dyDescent="0.25">
      <c r="A39" s="9" t="s">
        <v>224</v>
      </c>
      <c r="B39" s="9" t="str">
        <f>LEFT(Table4[[#This Row],[_drop_wqbe]],FIND("_",Table4[[#This Row],[_drop_wqbe]])-1)</f>
        <v>14A</v>
      </c>
      <c r="C39" s="9" t="str">
        <f>RIGHT(Table4[[#This Row],[_drop_wqbe]],LEN(Table4[[#This Row],[_drop_wqbe]])-FIND("_",Table4[[#This Row],[_drop_wqbe]]))</f>
        <v>Infiltration Vault Till Soil on Public Property</v>
      </c>
      <c r="D39" s="9" t="s">
        <v>225</v>
      </c>
      <c r="E39" s="9" t="s">
        <v>210</v>
      </c>
      <c r="F39" s="9" t="s">
        <v>226</v>
      </c>
      <c r="G39" s="9" t="str">
        <f>RIGHT(Table4[[#This Row],[WQBE_Full_Description]], LEN(Table4[[#This Row],[WQBE_Full_Description]])-5)</f>
        <v>14A_Infiltration Vault Till Soil on Public Property</v>
      </c>
    </row>
    <row r="40" spans="1:7" x14ac:dyDescent="0.25">
      <c r="A40" s="9" t="s">
        <v>227</v>
      </c>
      <c r="B40" s="9" t="str">
        <f>LEFT(Table4[[#This Row],[_drop_wqbe]],FIND("_",Table4[[#This Row],[_drop_wqbe]])-1)</f>
        <v>14B</v>
      </c>
      <c r="C40" s="9" t="str">
        <f>RIGHT(Table4[[#This Row],[_drop_wqbe]],LEN(Table4[[#This Row],[_drop_wqbe]])-FIND("_",Table4[[#This Row],[_drop_wqbe]]))</f>
        <v>Infiltration Vault Outwash Soil on Public Property</v>
      </c>
      <c r="D40" s="9" t="s">
        <v>225</v>
      </c>
      <c r="E40" s="9" t="s">
        <v>210</v>
      </c>
      <c r="F40" s="9" t="s">
        <v>226</v>
      </c>
      <c r="G40" s="9" t="str">
        <f>RIGHT(Table4[[#This Row],[WQBE_Full_Description]], LEN(Table4[[#This Row],[WQBE_Full_Description]])-5)</f>
        <v>14B_Infiltration Vault Outwash Soil on Public Property</v>
      </c>
    </row>
    <row r="41" spans="1:7" x14ac:dyDescent="0.25">
      <c r="A41" s="9" t="s">
        <v>228</v>
      </c>
      <c r="B41" s="9" t="str">
        <f>LEFT(Table4[[#This Row],[_drop_wqbe]],FIND("_",Table4[[#This Row],[_drop_wqbe]])-1)</f>
        <v>14C</v>
      </c>
      <c r="C41" s="9" t="str">
        <f>RIGHT(Table4[[#This Row],[_drop_wqbe]],LEN(Table4[[#This Row],[_drop_wqbe]])-FIND("_",Table4[[#This Row],[_drop_wqbe]]))</f>
        <v>Infiltration Vault Till Soil in ROW</v>
      </c>
      <c r="D41" s="9" t="s">
        <v>225</v>
      </c>
      <c r="E41" s="9" t="s">
        <v>210</v>
      </c>
      <c r="F41" s="9" t="s">
        <v>226</v>
      </c>
      <c r="G41" s="9" t="str">
        <f>RIGHT(Table4[[#This Row],[WQBE_Full_Description]], LEN(Table4[[#This Row],[WQBE_Full_Description]])-5)</f>
        <v>14C_Infiltration Vault Till Soil in ROW</v>
      </c>
    </row>
    <row r="42" spans="1:7" x14ac:dyDescent="0.25">
      <c r="A42" s="9" t="s">
        <v>229</v>
      </c>
      <c r="B42" s="9" t="str">
        <f>LEFT(Table4[[#This Row],[_drop_wqbe]],FIND("_",Table4[[#This Row],[_drop_wqbe]])-1)</f>
        <v>14D</v>
      </c>
      <c r="C42" s="9" t="str">
        <f>RIGHT(Table4[[#This Row],[_drop_wqbe]],LEN(Table4[[#This Row],[_drop_wqbe]])-FIND("_",Table4[[#This Row],[_drop_wqbe]]))</f>
        <v>Infiltration Vault Outwash Soil in ROW</v>
      </c>
      <c r="D42" s="9" t="s">
        <v>225</v>
      </c>
      <c r="E42" s="9" t="s">
        <v>210</v>
      </c>
      <c r="F42" s="9" t="s">
        <v>226</v>
      </c>
      <c r="G42" s="9" t="str">
        <f>RIGHT(Table4[[#This Row],[WQBE_Full_Description]], LEN(Table4[[#This Row],[WQBE_Full_Description]])-5)</f>
        <v>14D_Infiltration Vault Outwash Soil in ROW</v>
      </c>
    </row>
    <row r="43" spans="1:7" x14ac:dyDescent="0.25">
      <c r="A43" s="9" t="s">
        <v>230</v>
      </c>
      <c r="B43" s="9" t="str">
        <f>LEFT(Table4[[#This Row],[_drop_wqbe]],FIND("_",Table4[[#This Row],[_drop_wqbe]])-1)</f>
        <v>14E</v>
      </c>
      <c r="C43" s="9" t="str">
        <f>RIGHT(Table4[[#This Row],[_drop_wqbe]],LEN(Table4[[#This Row],[_drop_wqbe]])-FIND("_",Table4[[#This Row],[_drop_wqbe]]))</f>
        <v>Infiltration Vault Till Soil with Property Cost</v>
      </c>
      <c r="D43" s="9" t="s">
        <v>225</v>
      </c>
      <c r="E43" s="9" t="s">
        <v>210</v>
      </c>
      <c r="F43" s="9" t="s">
        <v>226</v>
      </c>
      <c r="G43" s="9" t="str">
        <f>RIGHT(Table4[[#This Row],[WQBE_Full_Description]], LEN(Table4[[#This Row],[WQBE_Full_Description]])-5)</f>
        <v>14E_Infiltration Vault Till Soil with Property Cost</v>
      </c>
    </row>
    <row r="44" spans="1:7" x14ac:dyDescent="0.25">
      <c r="A44" s="9" t="s">
        <v>231</v>
      </c>
      <c r="B44" s="9" t="str">
        <f>LEFT(Table4[[#This Row],[_drop_wqbe]],FIND("_",Table4[[#This Row],[_drop_wqbe]])-1)</f>
        <v>14F</v>
      </c>
      <c r="C44" s="9" t="str">
        <f>RIGHT(Table4[[#This Row],[_drop_wqbe]],LEN(Table4[[#This Row],[_drop_wqbe]])-FIND("_",Table4[[#This Row],[_drop_wqbe]]))</f>
        <v>Infiltration Vault Outwash Soil with Property Cost</v>
      </c>
      <c r="D44" s="9" t="s">
        <v>225</v>
      </c>
      <c r="E44" s="9" t="s">
        <v>210</v>
      </c>
      <c r="F44" s="9" t="s">
        <v>226</v>
      </c>
      <c r="G44" s="9" t="str">
        <f>RIGHT(Table4[[#This Row],[WQBE_Full_Description]], LEN(Table4[[#This Row],[WQBE_Full_Description]])-5)</f>
        <v>14F_Infiltration Vault Outwash Soil with Property Cost</v>
      </c>
    </row>
    <row r="45" spans="1:7" x14ac:dyDescent="0.25">
      <c r="A45" s="9" t="s">
        <v>232</v>
      </c>
      <c r="B45" s="9" t="str">
        <f>LEFT(Table4[[#This Row],[_drop_wqbe]],FIND("_",Table4[[#This Row],[_drop_wqbe]])-1)</f>
        <v>14G</v>
      </c>
      <c r="C45" s="9" t="str">
        <f>RIGHT(Table4[[#This Row],[_drop_wqbe]],LEN(Table4[[#This Row],[_drop_wqbe]])-FIND("_",Table4[[#This Row],[_drop_wqbe]]))</f>
        <v>Infiltration Vault Outwash Soil with High Rate Underground Filter System in ROW</v>
      </c>
      <c r="D45" s="9" t="s">
        <v>225</v>
      </c>
      <c r="E45" s="9" t="s">
        <v>210</v>
      </c>
      <c r="F45" s="9" t="s">
        <v>226</v>
      </c>
      <c r="G45" s="9" t="str">
        <f>RIGHT(Table4[[#This Row],[WQBE_Full_Description]], LEN(Table4[[#This Row],[WQBE_Full_Description]])-5)</f>
        <v>14G_Infiltration Vault Outwash Soil with High Rate Underground Filter System in ROW</v>
      </c>
    </row>
    <row r="46" spans="1:7" x14ac:dyDescent="0.25">
      <c r="A46" s="9" t="s">
        <v>233</v>
      </c>
      <c r="B46" s="9" t="str">
        <f>LEFT(Table4[[#This Row],[_drop_wqbe]],FIND("_",Table4[[#This Row],[_drop_wqbe]])-1)</f>
        <v>16</v>
      </c>
      <c r="C46" s="9" t="str">
        <f>RIGHT(Table4[[#This Row],[_drop_wqbe]],LEN(Table4[[#This Row],[_drop_wqbe]])-FIND("_",Table4[[#This Row],[_drop_wqbe]]))</f>
        <v>Cistern on Property</v>
      </c>
      <c r="D46" s="9" t="s">
        <v>234</v>
      </c>
      <c r="E46" s="9" t="s">
        <v>210</v>
      </c>
      <c r="F46" s="9" t="s">
        <v>211</v>
      </c>
      <c r="G46" s="9" t="str">
        <f>RIGHT(Table4[[#This Row],[WQBE_Full_Description]], LEN(Table4[[#This Row],[WQBE_Full_Description]])-5)</f>
        <v>16_Cistern on Property</v>
      </c>
    </row>
    <row r="47" spans="1:7" x14ac:dyDescent="0.25">
      <c r="A47" s="9" t="s">
        <v>235</v>
      </c>
      <c r="B47" s="9" t="str">
        <f>LEFT(Table4[[#This Row],[_drop_wqbe]],FIND("_",Table4[[#This Row],[_drop_wqbe]])-1)</f>
        <v>9A</v>
      </c>
      <c r="C47" s="9" t="str">
        <f>RIGHT(Table4[[#This Row],[_drop_wqbe]],LEN(Table4[[#This Row],[_drop_wqbe]])-FIND("_",Table4[[#This Row],[_drop_wqbe]]))</f>
        <v>Removal of Impervious Surfaces on Property (wheel strips)</v>
      </c>
      <c r="D47" s="9" t="s">
        <v>236</v>
      </c>
      <c r="E47" s="9" t="s">
        <v>168</v>
      </c>
      <c r="F47" s="9" t="s">
        <v>169</v>
      </c>
      <c r="G47" s="9" t="str">
        <f>RIGHT(Table4[[#This Row],[WQBE_Full_Description]], LEN(Table4[[#This Row],[WQBE_Full_Description]])-5)</f>
        <v>9A_Removal of Impervious Surfaces on Property (wheel strips)</v>
      </c>
    </row>
    <row r="48" spans="1:7" x14ac:dyDescent="0.25">
      <c r="A48" s="9" t="s">
        <v>237</v>
      </c>
      <c r="B48" s="9" t="str">
        <f>LEFT(Table4[[#This Row],[_drop_wqbe]],FIND("_",Table4[[#This Row],[_drop_wqbe]])-1)</f>
        <v>9B</v>
      </c>
      <c r="C48" s="9" t="str">
        <f>RIGHT(Table4[[#This Row],[_drop_wqbe]],LEN(Table4[[#This Row],[_drop_wqbe]])-FIND("_",Table4[[#This Row],[_drop_wqbe]]))</f>
        <v>Removal of Impervious Surfaces on Property (no wheel strips)</v>
      </c>
      <c r="D48" s="9" t="s">
        <v>236</v>
      </c>
      <c r="E48" s="9" t="s">
        <v>168</v>
      </c>
      <c r="F48" s="9" t="s">
        <v>169</v>
      </c>
      <c r="G48" s="9" t="str">
        <f>RIGHT(Table4[[#This Row],[WQBE_Full_Description]], LEN(Table4[[#This Row],[WQBE_Full_Description]])-5)</f>
        <v>9B_Removal of Impervious Surfaces on Property (no wheel strips)</v>
      </c>
    </row>
    <row r="49" spans="1:7" x14ac:dyDescent="0.25">
      <c r="A49" s="1" t="s">
        <v>109</v>
      </c>
      <c r="B49" s="11" t="str">
        <f>LEFT(Table4[[#This Row],[_drop_wqbe]],FIND("_",Table4[[#This Row],[_drop_wqbe]])-1)</f>
        <v>18A</v>
      </c>
      <c r="C49" s="11" t="str">
        <f>RIGHT(Table4[[#This Row],[_drop_wqbe]],LEN(Table4[[#This Row],[_drop_wqbe]])-FIND("_",Table4[[#This Row],[_drop_wqbe]]))</f>
        <v xml:space="preserve"> Wet Pond on Public Property</v>
      </c>
      <c r="F49" s="9" t="s">
        <v>219</v>
      </c>
      <c r="G49" s="11" t="str">
        <f>RIGHT(Table4[[#This Row],[WQBE_Full_Description]], LEN(Table4[[#This Row],[WQBE_Full_Description]])-5)</f>
        <v>18A_ Wet Pond on Public Property</v>
      </c>
    </row>
    <row r="50" spans="1:7" x14ac:dyDescent="0.25">
      <c r="A50" s="1" t="s">
        <v>112</v>
      </c>
      <c r="B50" s="11" t="str">
        <f>LEFT(Table4[[#This Row],[_drop_wqbe]],FIND("_",Table4[[#This Row],[_drop_wqbe]])-1)</f>
        <v>18B</v>
      </c>
      <c r="C50" s="11" t="str">
        <f>RIGHT(Table4[[#This Row],[_drop_wqbe]],LEN(Table4[[#This Row],[_drop_wqbe]])-FIND("_",Table4[[#This Row],[_drop_wqbe]]))</f>
        <v xml:space="preserve"> Wet Pond with Property Cost</v>
      </c>
      <c r="F50" s="9" t="s">
        <v>219</v>
      </c>
      <c r="G50" s="11" t="str">
        <f>RIGHT(Table4[[#This Row],[WQBE_Full_Description]], LEN(Table4[[#This Row],[WQBE_Full_Description]])-5)</f>
        <v>18B_ Wet Pond with Property Cost</v>
      </c>
    </row>
    <row r="51" spans="1:7" x14ac:dyDescent="0.25">
      <c r="A51" s="1" t="s">
        <v>114</v>
      </c>
      <c r="B51" s="11" t="str">
        <f>LEFT(Table4[[#This Row],[_drop_wqbe]],FIND("_",Table4[[#This Row],[_drop_wqbe]])-1)</f>
        <v>19A</v>
      </c>
      <c r="C51" s="11" t="str">
        <f>RIGHT(Table4[[#This Row],[_drop_wqbe]],LEN(Table4[[#This Row],[_drop_wqbe]])-FIND("_",Table4[[#This Row],[_drop_wqbe]]))</f>
        <v xml:space="preserve"> Wet Vault on Public Property</v>
      </c>
      <c r="F51" s="9" t="s">
        <v>226</v>
      </c>
      <c r="G51" s="11" t="str">
        <f>RIGHT(Table4[[#This Row],[WQBE_Full_Description]], LEN(Table4[[#This Row],[WQBE_Full_Description]])-5)</f>
        <v>19A_ Wet Vault on Public Property</v>
      </c>
    </row>
    <row r="52" spans="1:7" x14ac:dyDescent="0.25">
      <c r="A52" s="1" t="s">
        <v>117</v>
      </c>
      <c r="B52" s="11" t="str">
        <f>LEFT(Table4[[#This Row],[_drop_wqbe]],FIND("_",Table4[[#This Row],[_drop_wqbe]])-1)</f>
        <v>19B</v>
      </c>
      <c r="C52" s="11" t="str">
        <f>RIGHT(Table4[[#This Row],[_drop_wqbe]],LEN(Table4[[#This Row],[_drop_wqbe]])-FIND("_",Table4[[#This Row],[_drop_wqbe]]))</f>
        <v xml:space="preserve"> Wet Vault in ROW</v>
      </c>
      <c r="F52" s="9" t="s">
        <v>226</v>
      </c>
      <c r="G52" s="11" t="str">
        <f>RIGHT(Table4[[#This Row],[WQBE_Full_Description]], LEN(Table4[[#This Row],[WQBE_Full_Description]])-5)</f>
        <v>19B_ Wet Vault in ROW</v>
      </c>
    </row>
    <row r="53" spans="1:7" x14ac:dyDescent="0.25">
      <c r="A53" s="1" t="s">
        <v>118</v>
      </c>
      <c r="B53" s="11" t="str">
        <f>LEFT(Table4[[#This Row],[_drop_wqbe]],FIND("_",Table4[[#This Row],[_drop_wqbe]])-1)</f>
        <v>19C</v>
      </c>
      <c r="C53" s="11" t="str">
        <f>RIGHT(Table4[[#This Row],[_drop_wqbe]],LEN(Table4[[#This Row],[_drop_wqbe]])-FIND("_",Table4[[#This Row],[_drop_wqbe]]))</f>
        <v xml:space="preserve"> Wet Vault with Property Cost</v>
      </c>
      <c r="F53" s="9" t="s">
        <v>226</v>
      </c>
      <c r="G53" s="11" t="str">
        <f>RIGHT(Table4[[#This Row],[WQBE_Full_Description]], LEN(Table4[[#This Row],[WQBE_Full_Description]])-5)</f>
        <v>19C_ Wet Vault with Property Cost</v>
      </c>
    </row>
    <row r="54" spans="1:7" x14ac:dyDescent="0.25">
      <c r="A54" s="1" t="s">
        <v>120</v>
      </c>
      <c r="B54" s="11" t="str">
        <f>LEFT(Table4[[#This Row],[_drop_wqbe]],FIND("_",Table4[[#This Row],[_drop_wqbe]])-1)</f>
        <v>20A</v>
      </c>
      <c r="C54" s="11" t="str">
        <f>RIGHT(Table4[[#This Row],[_drop_wqbe]],LEN(Table4[[#This Row],[_drop_wqbe]])-FIND("_",Table4[[#This Row],[_drop_wqbe]]))</f>
        <v xml:space="preserve"> Stormwater Treatment Wetland on Public Property</v>
      </c>
      <c r="F54" s="9" t="s">
        <v>219</v>
      </c>
      <c r="G54" s="11" t="str">
        <f>RIGHT(Table4[[#This Row],[WQBE_Full_Description]], LEN(Table4[[#This Row],[WQBE_Full_Description]])-5)</f>
        <v>20A_ Stormwater Treatment Wetland on Public Property</v>
      </c>
    </row>
    <row r="55" spans="1:7" x14ac:dyDescent="0.25">
      <c r="A55" s="1" t="s">
        <v>123</v>
      </c>
      <c r="B55" s="11" t="str">
        <f>LEFT(Table4[[#This Row],[_drop_wqbe]],FIND("_",Table4[[#This Row],[_drop_wqbe]])-1)</f>
        <v>20B</v>
      </c>
      <c r="C55" s="11" t="str">
        <f>RIGHT(Table4[[#This Row],[_drop_wqbe]],LEN(Table4[[#This Row],[_drop_wqbe]])-FIND("_",Table4[[#This Row],[_drop_wqbe]]))</f>
        <v xml:space="preserve"> Stormwater Treatment Wetland with Property Cost</v>
      </c>
      <c r="F55" s="9" t="s">
        <v>219</v>
      </c>
      <c r="G55" s="11" t="str">
        <f>RIGHT(Table4[[#This Row],[WQBE_Full_Description]], LEN(Table4[[#This Row],[WQBE_Full_Description]])-5)</f>
        <v>20B_ Stormwater Treatment Wetland with Property Cost</v>
      </c>
    </row>
    <row r="56" spans="1:7" x14ac:dyDescent="0.25">
      <c r="A56" s="1" t="s">
        <v>125</v>
      </c>
      <c r="B56" s="11" t="str">
        <f>LEFT(Table4[[#This Row],[_drop_wqbe]],FIND("_",Table4[[#This Row],[_drop_wqbe]])-1)</f>
        <v>21A</v>
      </c>
      <c r="C56" s="11" t="str">
        <f>RIGHT(Table4[[#This Row],[_drop_wqbe]],LEN(Table4[[#This Row],[_drop_wqbe]])-FIND("_",Table4[[#This Row],[_drop_wqbe]]))</f>
        <v>High Rate Underground Filter in Urban ROW PCCP</v>
      </c>
      <c r="F56" s="9" t="s">
        <v>190</v>
      </c>
      <c r="G56" s="11" t="str">
        <f>RIGHT(Table4[[#This Row],[WQBE_Full_Description]], LEN(Table4[[#This Row],[WQBE_Full_Description]])-5)</f>
        <v>21A_High Rate Underground Filter in Urban ROW PCCP</v>
      </c>
    </row>
    <row r="57" spans="1:7" x14ac:dyDescent="0.25">
      <c r="A57" s="1" t="s">
        <v>128</v>
      </c>
      <c r="B57" s="11" t="str">
        <f>LEFT(Table4[[#This Row],[_drop_wqbe]],FIND("_",Table4[[#This Row],[_drop_wqbe]])-1)</f>
        <v>21B</v>
      </c>
      <c r="C57" s="11" t="str">
        <f>RIGHT(Table4[[#This Row],[_drop_wqbe]],LEN(Table4[[#This Row],[_drop_wqbe]])-FIND("_",Table4[[#This Row],[_drop_wqbe]]))</f>
        <v>High Rate Underground Filter in Highway ROW PCCP</v>
      </c>
      <c r="F57" s="9" t="s">
        <v>190</v>
      </c>
      <c r="G57" s="11" t="str">
        <f>RIGHT(Table4[[#This Row],[WQBE_Full_Description]], LEN(Table4[[#This Row],[WQBE_Full_Description]])-5)</f>
        <v>21B_High Rate Underground Filter in Highway ROW PCCP</v>
      </c>
    </row>
    <row r="58" spans="1:7" x14ac:dyDescent="0.25">
      <c r="A58" s="1" t="s">
        <v>129</v>
      </c>
      <c r="B58" s="11" t="str">
        <f>LEFT(Table4[[#This Row],[_drop_wqbe]],FIND("_",Table4[[#This Row],[_drop_wqbe]])-1)</f>
        <v>21C</v>
      </c>
      <c r="C58" s="11" t="str">
        <f>RIGHT(Table4[[#This Row],[_drop_wqbe]],LEN(Table4[[#This Row],[_drop_wqbe]])-FIND("_",Table4[[#This Row],[_drop_wqbe]]))</f>
        <v>High Rate Underground Filter in Urban ROW HMA</v>
      </c>
      <c r="F58" s="9" t="s">
        <v>190</v>
      </c>
      <c r="G58" s="11" t="str">
        <f>RIGHT(Table4[[#This Row],[WQBE_Full_Description]], LEN(Table4[[#This Row],[WQBE_Full_Description]])-5)</f>
        <v>21C_High Rate Underground Filter in Urban ROW HMA</v>
      </c>
    </row>
    <row r="59" spans="1:7" x14ac:dyDescent="0.25">
      <c r="A59" s="1" t="s">
        <v>130</v>
      </c>
      <c r="B59" s="11" t="str">
        <f>LEFT(Table4[[#This Row],[_drop_wqbe]],FIND("_",Table4[[#This Row],[_drop_wqbe]])-1)</f>
        <v>21D</v>
      </c>
      <c r="C59" s="11" t="str">
        <f>RIGHT(Table4[[#This Row],[_drop_wqbe]],LEN(Table4[[#This Row],[_drop_wqbe]])-FIND("_",Table4[[#This Row],[_drop_wqbe]]))</f>
        <v>High Rate Underground Filter in Highway ROW HMA</v>
      </c>
      <c r="F59" s="9" t="s">
        <v>190</v>
      </c>
      <c r="G59" s="11" t="str">
        <f>RIGHT(Table4[[#This Row],[WQBE_Full_Description]], LEN(Table4[[#This Row],[WQBE_Full_Description]])-5)</f>
        <v>21D_High Rate Underground Filter in Highway ROW HMA</v>
      </c>
    </row>
    <row r="60" spans="1:7" x14ac:dyDescent="0.25">
      <c r="A60" s="1" t="s">
        <v>131</v>
      </c>
      <c r="B60" s="11" t="str">
        <f>LEFT(Table4[[#This Row],[_drop_wqbe]],FIND("_",Table4[[#This Row],[_drop_wqbe]])-1)</f>
        <v>21E</v>
      </c>
      <c r="C60" s="11" t="str">
        <f>RIGHT(Table4[[#This Row],[_drop_wqbe]],LEN(Table4[[#This Row],[_drop_wqbe]])-FIND("_",Table4[[#This Row],[_drop_wqbe]]))</f>
        <v>High Rate Underground Filter on Public Property</v>
      </c>
      <c r="F60" s="9" t="s">
        <v>190</v>
      </c>
      <c r="G60" s="11" t="str">
        <f>RIGHT(Table4[[#This Row],[WQBE_Full_Description]], LEN(Table4[[#This Row],[WQBE_Full_Description]])-5)</f>
        <v>21E_High Rate Underground Filter on Public Property</v>
      </c>
    </row>
    <row r="61" spans="1:7" x14ac:dyDescent="0.25">
      <c r="A61" s="1" t="s">
        <v>132</v>
      </c>
      <c r="B61" s="11" t="str">
        <f>LEFT(Table4[[#This Row],[_drop_wqbe]],FIND("_",Table4[[#This Row],[_drop_wqbe]])-1)</f>
        <v>21F</v>
      </c>
      <c r="C61" s="11" t="str">
        <f>RIGHT(Table4[[#This Row],[_drop_wqbe]],LEN(Table4[[#This Row],[_drop_wqbe]])-FIND("_",Table4[[#This Row],[_drop_wqbe]]))</f>
        <v>High Rate Underground Filter with Property Cost</v>
      </c>
      <c r="F61" s="9" t="s">
        <v>190</v>
      </c>
      <c r="G61" s="11" t="str">
        <f>RIGHT(Table4[[#This Row],[WQBE_Full_Description]], LEN(Table4[[#This Row],[WQBE_Full_Description]])-5)</f>
        <v>21F_High Rate Underground Filter with Property Cost</v>
      </c>
    </row>
    <row r="62" spans="1:7" x14ac:dyDescent="0.25">
      <c r="A62" s="1" t="s">
        <v>134</v>
      </c>
      <c r="B62" s="11" t="str">
        <f>LEFT(Table4[[#This Row],[_drop_wqbe]],FIND("_",Table4[[#This Row],[_drop_wqbe]])-1)</f>
        <v>22A</v>
      </c>
      <c r="C62" s="11" t="str">
        <f>RIGHT(Table4[[#This Row],[_drop_wqbe]],LEN(Table4[[#This Row],[_drop_wqbe]])-FIND("_",Table4[[#This Row],[_drop_wqbe]]))</f>
        <v>Regional Vegetated Media SW Facility on Public Property</v>
      </c>
      <c r="F62" s="9" t="s">
        <v>177</v>
      </c>
      <c r="G62" s="11" t="str">
        <f>RIGHT(Table4[[#This Row],[WQBE_Full_Description]], LEN(Table4[[#This Row],[WQBE_Full_Description]])-5)</f>
        <v>22A_Regional Vegetated Media SW Facility on Public Property</v>
      </c>
    </row>
    <row r="63" spans="1:7" x14ac:dyDescent="0.25">
      <c r="A63" s="1" t="s">
        <v>137</v>
      </c>
      <c r="B63" s="11" t="str">
        <f>LEFT(Table4[[#This Row],[_drop_wqbe]],FIND("_",Table4[[#This Row],[_drop_wqbe]])-1)</f>
        <v>22B</v>
      </c>
      <c r="C63" s="11" t="str">
        <f>RIGHT(Table4[[#This Row],[_drop_wqbe]],LEN(Table4[[#This Row],[_drop_wqbe]])-FIND("_",Table4[[#This Row],[_drop_wqbe]]))</f>
        <v>Regional Vegetated Media SW Facility with Property Cost</v>
      </c>
      <c r="F63" s="9" t="s">
        <v>177</v>
      </c>
      <c r="G63" s="11" t="str">
        <f>RIGHT(Table4[[#This Row],[WQBE_Full_Description]], LEN(Table4[[#This Row],[WQBE_Full_Description]])-5)</f>
        <v>22B_Regional Vegetated Media SW Facility with Property Cost</v>
      </c>
    </row>
    <row r="64" spans="1:7" x14ac:dyDescent="0.25">
      <c r="A64" s="1" t="s">
        <v>139</v>
      </c>
      <c r="B64" s="11" t="str">
        <f>LEFT(Table4[[#This Row],[_drop_wqbe]],FIND("_",Table4[[#This Row],[_drop_wqbe]])-1)</f>
        <v>23</v>
      </c>
      <c r="C64" s="11" t="str">
        <f>RIGHT(Table4[[#This Row],[_drop_wqbe]],LEN(Table4[[#This Row],[_drop_wqbe]])-FIND("_",Table4[[#This Row],[_drop_wqbe]]))</f>
        <v>Sports Field and Park Detention</v>
      </c>
      <c r="F64" s="9" t="s">
        <v>219</v>
      </c>
      <c r="G64" s="11" t="str">
        <f>RIGHT(Table4[[#This Row],[WQBE_Full_Description]], LEN(Table4[[#This Row],[WQBE_Full_Description]])-5)</f>
        <v>23_Sports Field and Park Detention</v>
      </c>
    </row>
    <row r="65" spans="1:7" x14ac:dyDescent="0.25">
      <c r="A65" s="1" t="s">
        <v>143</v>
      </c>
      <c r="B65" s="11" t="str">
        <f>LEFT(Table4[[#This Row],[_drop_wqbe]],FIND("_",Table4[[#This Row],[_drop_wqbe]])-1)</f>
        <v>24</v>
      </c>
      <c r="C65" s="11" t="str">
        <f>RIGHT(Table4[[#This Row],[_drop_wqbe]],LEN(Table4[[#This Row],[_drop_wqbe]])-FIND("_",Table4[[#This Row],[_drop_wqbe]]))</f>
        <v>Blue Roof</v>
      </c>
      <c r="F65" s="9" t="s">
        <v>219</v>
      </c>
      <c r="G65" s="11" t="str">
        <f>RIGHT(Table4[[#This Row],[WQBE_Full_Description]], LEN(Table4[[#This Row],[WQBE_Full_Description]])-5)</f>
        <v>24_Blue Roof</v>
      </c>
    </row>
    <row r="66" spans="1:7" x14ac:dyDescent="0.25">
      <c r="A66" s="1" t="s">
        <v>146</v>
      </c>
      <c r="B66" s="11" t="str">
        <f>LEFT(Table4[[#This Row],[_drop_wqbe]],FIND("_",Table4[[#This Row],[_drop_wqbe]])-1)</f>
        <v>25</v>
      </c>
      <c r="C66" s="11" t="str">
        <f>RIGHT(Table4[[#This Row],[_drop_wqbe]],LEN(Table4[[#This Row],[_drop_wqbe]])-FIND("_",Table4[[#This Row],[_drop_wqbe]]))</f>
        <v>Compost Amendment</v>
      </c>
      <c r="F66" s="9" t="s">
        <v>238</v>
      </c>
      <c r="G66" s="11" t="str">
        <f>RIGHT(Table4[[#This Row],[WQBE_Full_Description]], LEN(Table4[[#This Row],[WQBE_Full_Description]])-5)</f>
        <v>25_Compost Amendment</v>
      </c>
    </row>
    <row r="67" spans="1:7" x14ac:dyDescent="0.25">
      <c r="A67" s="1" t="s">
        <v>149</v>
      </c>
      <c r="B67" s="11" t="str">
        <f>LEFT(Table4[[#This Row],[_drop_wqbe]],FIND("_",Table4[[#This Row],[_drop_wqbe]])-1)</f>
        <v>26A</v>
      </c>
      <c r="C67" s="11" t="str">
        <f>RIGHT(Table4[[#This Row],[_drop_wqbe]],LEN(Table4[[#This Row],[_drop_wqbe]])-FIND("_",Table4[[#This Row],[_drop_wqbe]]))</f>
        <v>Reforestation High Density Development - On Property</v>
      </c>
      <c r="F67" s="9" t="s">
        <v>238</v>
      </c>
      <c r="G67" s="11" t="str">
        <f>RIGHT(Table4[[#This Row],[WQBE_Full_Description]], LEN(Table4[[#This Row],[WQBE_Full_Description]])-5)</f>
        <v>26A_Reforestation High Density Development - On Property</v>
      </c>
    </row>
    <row r="68" spans="1:7" x14ac:dyDescent="0.25">
      <c r="A68" s="1" t="s">
        <v>151</v>
      </c>
      <c r="B68" s="11" t="str">
        <f>LEFT(Table4[[#This Row],[_drop_wqbe]],FIND("_",Table4[[#This Row],[_drop_wqbe]])-1)</f>
        <v>6B</v>
      </c>
      <c r="C68" s="11" t="str">
        <f>RIGHT(Table4[[#This Row],[_drop_wqbe]],LEN(Table4[[#This Row],[_drop_wqbe]])-FIND("_",Table4[[#This Row],[_drop_wqbe]]))</f>
        <v>Reforestation High Density Development with Property Cost</v>
      </c>
      <c r="F68" s="9" t="s">
        <v>238</v>
      </c>
      <c r="G68" s="11" t="str">
        <f>RIGHT(Table4[[#This Row],[WQBE_Full_Description]], LEN(Table4[[#This Row],[WQBE_Full_Description]])-5)</f>
        <v>6B_Reforestation High Density Development with Property Cost</v>
      </c>
    </row>
    <row r="69" spans="1:7" x14ac:dyDescent="0.25">
      <c r="A69" s="1" t="s">
        <v>153</v>
      </c>
      <c r="B69" s="11" t="str">
        <f>LEFT(Table4[[#This Row],[_drop_wqbe]],FIND("_",Table4[[#This Row],[_drop_wqbe]])-1)</f>
        <v>26C</v>
      </c>
      <c r="C69" s="11" t="str">
        <f>RIGHT(Table4[[#This Row],[_drop_wqbe]],LEN(Table4[[#This Row],[_drop_wqbe]])-FIND("_",Table4[[#This Row],[_drop_wqbe]]))</f>
        <v>Reforestation Pervious Area on Property</v>
      </c>
      <c r="F69" s="9" t="s">
        <v>238</v>
      </c>
      <c r="G69" s="11" t="str">
        <f>RIGHT(Table4[[#This Row],[WQBE_Full_Description]], LEN(Table4[[#This Row],[WQBE_Full_Description]])-5)</f>
        <v>26C_Reforestation Pervious Area on Property</v>
      </c>
    </row>
    <row r="70" spans="1:7" x14ac:dyDescent="0.25">
      <c r="A70" s="1" t="s">
        <v>154</v>
      </c>
      <c r="B70" s="11" t="str">
        <f>LEFT(Table4[[#This Row],[_drop_wqbe]],FIND("_",Table4[[#This Row],[_drop_wqbe]])-1)</f>
        <v>26C</v>
      </c>
      <c r="C70" s="11" t="str">
        <f>RIGHT(Table4[[#This Row],[_drop_wqbe]],LEN(Table4[[#This Row],[_drop_wqbe]])-FIND("_",Table4[[#This Row],[_drop_wqbe]]))</f>
        <v>Reforestation Pervious Area with Property Cost</v>
      </c>
      <c r="F70" s="9" t="s">
        <v>238</v>
      </c>
      <c r="G70" s="11" t="str">
        <f>RIGHT(Table4[[#This Row],[WQBE_Full_Description]], LEN(Table4[[#This Row],[WQBE_Full_Description]])-5)</f>
        <v>26C_Reforestation Pervious Area with Property Cost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63C38C7-B96C-4F87-894B-BDBDC7281C21}">
          <x14:formula1>
            <xm:f>Lookups!$A$2:$A$100</xm:f>
          </x14:formula1>
          <xm:sqref>F2:F6 F8:F70</xm:sqref>
        </x14:dataValidation>
        <x14:dataValidation type="list" allowBlank="1" showInputMessage="1" showErrorMessage="1" xr:uid="{620EEEF4-61DC-4B56-8A8F-557344861A4C}">
          <x14:formula1>
            <xm:f>Lookups!$A$2:$A$26</xm:f>
          </x14:formula1>
          <xm:sqref>F7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75BC-BAAE-43C5-8BCF-7B7F1B346F3C}">
  <dimension ref="A1:A14"/>
  <sheetViews>
    <sheetView workbookViewId="0">
      <selection activeCell="A15" sqref="A15"/>
    </sheetView>
  </sheetViews>
  <sheetFormatPr defaultRowHeight="13.5" x14ac:dyDescent="0.2"/>
  <cols>
    <col min="1" max="1" width="19" style="1" bestFit="1" customWidth="1"/>
    <col min="2" max="16384" width="9.33203125" style="1"/>
  </cols>
  <sheetData>
    <row r="1" spans="1:1" x14ac:dyDescent="0.2">
      <c r="A1" s="12" t="s">
        <v>158</v>
      </c>
    </row>
    <row r="2" spans="1:1" x14ac:dyDescent="0.2">
      <c r="A2" s="1" t="s">
        <v>238</v>
      </c>
    </row>
    <row r="3" spans="1:1" x14ac:dyDescent="0.2">
      <c r="A3" s="1" t="s">
        <v>177</v>
      </c>
    </row>
    <row r="4" spans="1:1" x14ac:dyDescent="0.2">
      <c r="A4" s="1" t="s">
        <v>190</v>
      </c>
    </row>
    <row r="5" spans="1:1" x14ac:dyDescent="0.2">
      <c r="A5" s="1" t="s">
        <v>240</v>
      </c>
    </row>
    <row r="6" spans="1:1" x14ac:dyDescent="0.2">
      <c r="A6" s="1" t="s">
        <v>204</v>
      </c>
    </row>
    <row r="7" spans="1:1" x14ac:dyDescent="0.2">
      <c r="A7" s="1" t="s">
        <v>219</v>
      </c>
    </row>
    <row r="8" spans="1:1" x14ac:dyDescent="0.2">
      <c r="A8" s="1" t="s">
        <v>241</v>
      </c>
    </row>
    <row r="9" spans="1:1" x14ac:dyDescent="0.2">
      <c r="A9" s="1" t="s">
        <v>185</v>
      </c>
    </row>
    <row r="10" spans="1:1" x14ac:dyDescent="0.2">
      <c r="A10" s="1" t="s">
        <v>239</v>
      </c>
    </row>
    <row r="11" spans="1:1" x14ac:dyDescent="0.2">
      <c r="A11" s="1" t="s">
        <v>211</v>
      </c>
    </row>
    <row r="12" spans="1:1" x14ac:dyDescent="0.2">
      <c r="A12" s="1" t="s">
        <v>226</v>
      </c>
    </row>
    <row r="13" spans="1:1" x14ac:dyDescent="0.2">
      <c r="A13" s="1" t="s">
        <v>172</v>
      </c>
    </row>
    <row r="14" spans="1:1" x14ac:dyDescent="0.2">
      <c r="A14" s="1" t="s">
        <v>169</v>
      </c>
    </row>
  </sheetData>
  <sortState xmlns:xlrd2="http://schemas.microsoft.com/office/spreadsheetml/2017/richdata2" ref="A2:A13">
    <sortCondition ref="A2:A1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841BC40D5EC7448836AA8031020CB3" ma:contentTypeVersion="16" ma:contentTypeDescription="Create a new document." ma:contentTypeScope="" ma:versionID="7ad9251238ebe0a04e430088e3d70dce">
  <xsd:schema xmlns:xsd="http://www.w3.org/2001/XMLSchema" xmlns:xs="http://www.w3.org/2001/XMLSchema" xmlns:p="http://schemas.microsoft.com/office/2006/metadata/properties" xmlns:ns2="8717bfbd-2cbf-47b7-99a3-e744ff4cb15b" xmlns:ns3="e1d6ca90-b3f3-4207-a4b7-3f02b0382b79" targetNamespace="http://schemas.microsoft.com/office/2006/metadata/properties" ma:root="true" ma:fieldsID="3edba9bd36ca4395d24cc4d5303cd163" ns2:_="" ns3:_="">
    <xsd:import namespace="8717bfbd-2cbf-47b7-99a3-e744ff4cb15b"/>
    <xsd:import namespace="e1d6ca90-b3f3-4207-a4b7-3f02b0382b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7bfbd-2cbf-47b7-99a3-e744ff4cb1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f472b7-818c-4316-a1a1-fbf8e7dd48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6ca90-b3f3-4207-a4b7-3f02b0382b7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2497451-e2d3-4d2f-9760-aeb935b89169}" ma:internalName="TaxCatchAll" ma:showField="CatchAllData" ma:web="e1d6ca90-b3f3-4207-a4b7-3f02b0382b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d6ca90-b3f3-4207-a4b7-3f02b0382b79" xsi:nil="true"/>
    <lcf76f155ced4ddcb4097134ff3c332f xmlns="8717bfbd-2cbf-47b7-99a3-e744ff4cb1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FF9EEF-D363-47AB-8157-DBC9A84CE6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17bfbd-2cbf-47b7-99a3-e744ff4cb15b"/>
    <ds:schemaRef ds:uri="e1d6ca90-b3f3-4207-a4b7-3f02b0382b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C6CE10-0145-45BA-A8F8-CE4B167A4D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C30426-9FFB-445C-AF46-72D12D7F9AC6}">
  <ds:schemaRefs>
    <ds:schemaRef ds:uri="http://schemas.microsoft.com/office/2006/metadata/properties"/>
    <ds:schemaRef ds:uri="http://schemas.microsoft.com/office/infopath/2007/PartnerControls"/>
    <ds:schemaRef ds:uri="e1d6ca90-b3f3-4207-a4b7-3f02b0382b79"/>
    <ds:schemaRef ds:uri="8717bfbd-2cbf-47b7-99a3-e744ff4cb1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WQBE_2024</vt:lpstr>
      <vt:lpstr>BMP Crosswalk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Orr</cp:lastModifiedBy>
  <dcterms:created xsi:type="dcterms:W3CDTF">2025-11-18T22:32:50Z</dcterms:created>
  <dcterms:modified xsi:type="dcterms:W3CDTF">2025-12-17T00:07:38Z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2025-11-18T00:00:00Z</vt:filetime>
  </property>
  <property fmtid="{D5CDD505-2E9C-101B-9397-08002B2CF9AE}" pid="3" name="LastSaved">
    <vt:filetime>2025-11-18T00:00:00Z</vt:filetime>
  </property>
  <property fmtid="{D5CDD505-2E9C-101B-9397-08002B2CF9AE}" pid="4" name="ContentTypeId">
    <vt:lpwstr>0x01010009841BC40D5EC7448836AA8031020CB3</vt:lpwstr>
  </property>
  <property fmtid="{D5CDD505-2E9C-101B-9397-08002B2CF9AE}" pid="5" name="MediaServiceImageTags">
    <vt:lpwstr/>
  </property>
</Properties>
</file>